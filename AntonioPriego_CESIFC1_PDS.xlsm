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1" codeName="{3D1A710C-6663-3D7B-7F91-EC182F24A4BC}"/>
  <workbookPr filterPrivacy="1" codeName="ThisWorkbook" defaultThemeVersion="124226"/>
  <xr:revisionPtr revIDLastSave="0" documentId="13_ncr:1_{40493340-D268-455C-9CBC-57CB83134892}" xr6:coauthVersionLast="36" xr6:coauthVersionMax="36" xr10:uidLastSave="{00000000-0000-0000-0000-000000000000}"/>
  <bookViews>
    <workbookView xWindow="0" yWindow="0" windowWidth="28800" windowHeight="12225" activeTab="6" xr2:uid="{00000000-000D-0000-FFFF-FFFF00000000}"/>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91029"/>
</workbook>
</file>

<file path=xl/calcChain.xml><?xml version="1.0" encoding="utf-8"?>
<calcChain xmlns="http://schemas.openxmlformats.org/spreadsheetml/2006/main">
  <c r="H4" i="6" l="1"/>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I4" i="6" s="1"/>
  <c r="F5" i="6"/>
  <c r="F6" i="6"/>
  <c r="F7" i="6"/>
  <c r="I7" i="6" s="1"/>
  <c r="F8" i="6"/>
  <c r="I8" i="6" s="1"/>
  <c r="F9" i="6"/>
  <c r="I9" i="6" s="1"/>
  <c r="F10" i="6"/>
  <c r="I10" i="6" s="1"/>
  <c r="F11" i="6"/>
  <c r="I11" i="6" s="1"/>
  <c r="F12" i="6"/>
  <c r="I12" i="6" s="1"/>
  <c r="F13" i="6"/>
  <c r="F14" i="6"/>
  <c r="F15" i="6"/>
  <c r="F16" i="6"/>
  <c r="I16" i="6" s="1"/>
  <c r="F17" i="6"/>
  <c r="I17" i="6" s="1"/>
  <c r="F18" i="6"/>
  <c r="I18" i="6" s="1"/>
  <c r="F19" i="6"/>
  <c r="I19" i="6" s="1"/>
  <c r="F20" i="6"/>
  <c r="I20" i="6" s="1"/>
  <c r="F21" i="6"/>
  <c r="I21" i="6" s="1"/>
  <c r="F22" i="6"/>
  <c r="I22" i="6" s="1"/>
  <c r="F23" i="6"/>
  <c r="I23" i="6" s="1"/>
  <c r="F24" i="6"/>
  <c r="I24" i="6" s="1"/>
  <c r="F25" i="6"/>
  <c r="F26" i="6"/>
  <c r="F27" i="6"/>
  <c r="F28" i="6"/>
  <c r="I28" i="6" s="1"/>
  <c r="F29" i="6"/>
  <c r="F30" i="6"/>
  <c r="I30" i="6" s="1"/>
  <c r="F31" i="6"/>
  <c r="I31" i="6" s="1"/>
  <c r="F32" i="6"/>
  <c r="I32" i="6" s="1"/>
  <c r="F33" i="6"/>
  <c r="I33" i="6" s="1"/>
  <c r="F34" i="6"/>
  <c r="I34" i="6" s="1"/>
  <c r="F35" i="6"/>
  <c r="I35" i="6" s="1"/>
  <c r="F36" i="6"/>
  <c r="I36" i="6" s="1"/>
  <c r="F37" i="6"/>
  <c r="F38" i="6"/>
  <c r="F39" i="6"/>
  <c r="F40" i="6"/>
  <c r="I40" i="6" s="1"/>
  <c r="F41" i="6"/>
  <c r="I41" i="6" s="1"/>
  <c r="F42" i="6"/>
  <c r="I42" i="6" s="1"/>
  <c r="F43" i="6"/>
  <c r="I43" i="6" s="1"/>
  <c r="F44" i="6"/>
  <c r="I44" i="6" s="1"/>
  <c r="F45" i="6"/>
  <c r="I45" i="6" s="1"/>
  <c r="F46" i="6"/>
  <c r="I46" i="6" s="1"/>
  <c r="F47" i="6"/>
  <c r="I47" i="6" s="1"/>
  <c r="F48" i="6"/>
  <c r="F49" i="6"/>
  <c r="I49" i="6" s="1"/>
  <c r="F50" i="6"/>
  <c r="I50" i="6" s="1"/>
  <c r="F51" i="6"/>
  <c r="I51" i="6" s="1"/>
  <c r="F52" i="6"/>
  <c r="I52" i="6" s="1"/>
  <c r="F53" i="6"/>
  <c r="I53" i="6" s="1"/>
  <c r="F54" i="6"/>
  <c r="F55" i="6"/>
  <c r="I55" i="6" s="1"/>
  <c r="F56" i="6"/>
  <c r="F57" i="6"/>
  <c r="I57" i="6" s="1"/>
  <c r="F58" i="6"/>
  <c r="I58" i="6" s="1"/>
  <c r="F59" i="6"/>
  <c r="I59" i="6" s="1"/>
  <c r="F60" i="6"/>
  <c r="I60" i="6" s="1"/>
  <c r="F61" i="6"/>
  <c r="I61" i="6" s="1"/>
  <c r="F62" i="6"/>
  <c r="I62" i="6" s="1"/>
  <c r="F63" i="6"/>
  <c r="I63" i="6" s="1"/>
  <c r="F64" i="6"/>
  <c r="I64" i="6" s="1"/>
  <c r="F65" i="6"/>
  <c r="F66" i="6"/>
  <c r="I66" i="6" s="1"/>
  <c r="F67" i="6"/>
  <c r="F68" i="6"/>
  <c r="I68" i="6" s="1"/>
  <c r="F69" i="6"/>
  <c r="I69" i="6" s="1"/>
  <c r="F70" i="6"/>
  <c r="F71" i="6"/>
  <c r="F72" i="6"/>
  <c r="I72" i="6" s="1"/>
  <c r="F73" i="6"/>
  <c r="F74" i="6"/>
  <c r="I74" i="6" s="1"/>
  <c r="F75" i="6"/>
  <c r="F76" i="6"/>
  <c r="I76" i="6" s="1"/>
  <c r="F77" i="6"/>
  <c r="F78" i="6"/>
  <c r="F79" i="6"/>
  <c r="I79" i="6" s="1"/>
  <c r="F80" i="6"/>
  <c r="F81" i="6"/>
  <c r="I81" i="6" s="1"/>
  <c r="F82" i="6"/>
  <c r="I82" i="6" s="1"/>
  <c r="F83" i="6"/>
  <c r="I83" i="6" s="1"/>
  <c r="F84" i="6"/>
  <c r="F85" i="6"/>
  <c r="I85" i="6" s="1"/>
  <c r="F86" i="6"/>
  <c r="I86" i="6" s="1"/>
  <c r="F87" i="6"/>
  <c r="F88" i="6"/>
  <c r="I88" i="6" s="1"/>
  <c r="F89" i="6"/>
  <c r="F90" i="6"/>
  <c r="F91" i="6"/>
  <c r="I91" i="6" s="1"/>
  <c r="F92" i="6"/>
  <c r="I92" i="6" s="1"/>
  <c r="F93" i="6"/>
  <c r="F94" i="6"/>
  <c r="I94" i="6" s="1"/>
  <c r="F95" i="6"/>
  <c r="I95" i="6" s="1"/>
  <c r="F96" i="6"/>
  <c r="I96" i="6" s="1"/>
  <c r="F97" i="6"/>
  <c r="I97" i="6" s="1"/>
  <c r="F98" i="6"/>
  <c r="F99" i="6"/>
  <c r="F100" i="6"/>
  <c r="I100" i="6" s="1"/>
  <c r="F101" i="6"/>
  <c r="I101" i="6" s="1"/>
  <c r="F102" i="6"/>
  <c r="F103" i="6"/>
  <c r="F104" i="6"/>
  <c r="I104" i="6" s="1"/>
  <c r="F105" i="6"/>
  <c r="F106" i="6"/>
  <c r="I106" i="6" s="1"/>
  <c r="F107" i="6"/>
  <c r="I107" i="6" s="1"/>
  <c r="F108" i="6"/>
  <c r="F109" i="6"/>
  <c r="I109" i="6" s="1"/>
  <c r="F110" i="6"/>
  <c r="I110" i="6" s="1"/>
  <c r="F111" i="6"/>
  <c r="F112" i="6"/>
  <c r="I112" i="6" s="1"/>
  <c r="F113" i="6"/>
  <c r="F114" i="6"/>
  <c r="F115" i="6"/>
  <c r="I115" i="6" s="1"/>
  <c r="F116" i="6"/>
  <c r="I116" i="6" s="1"/>
  <c r="F117" i="6"/>
  <c r="I117" i="6" s="1"/>
  <c r="F118" i="6"/>
  <c r="I118" i="6" s="1"/>
  <c r="F119" i="6"/>
  <c r="I119" i="6" s="1"/>
  <c r="F120" i="6"/>
  <c r="I120" i="6" s="1"/>
  <c r="F121" i="6"/>
  <c r="I121" i="6" s="1"/>
  <c r="F122" i="6"/>
  <c r="I122" i="6" s="1"/>
  <c r="F123" i="6"/>
  <c r="F124" i="6"/>
  <c r="I124" i="6" s="1"/>
  <c r="F125" i="6"/>
  <c r="F126" i="6"/>
  <c r="I126" i="6" s="1"/>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I142" i="6" s="1"/>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I158" i="6" s="1"/>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I174" i="6" s="1"/>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I190" i="6" s="1"/>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I206" i="6" s="1"/>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I222" i="6" s="1"/>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I238" i="6" s="1"/>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I254" i="6" s="1"/>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I270" i="6" s="1"/>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I286" i="6" s="1"/>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I302" i="6" s="1"/>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I318" i="6" s="1"/>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I334" i="6" s="1"/>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125" i="6" l="1"/>
  <c r="I123" i="6"/>
  <c r="I114" i="6"/>
  <c r="I113" i="6"/>
  <c r="I111" i="6"/>
  <c r="I108" i="6"/>
  <c r="I105" i="6"/>
  <c r="I103" i="6"/>
  <c r="I102" i="6"/>
  <c r="I99" i="6"/>
  <c r="I98" i="6"/>
  <c r="I93" i="6"/>
  <c r="I90" i="6"/>
  <c r="I89" i="6"/>
  <c r="I87" i="6"/>
  <c r="I84" i="6"/>
  <c r="I80" i="6"/>
  <c r="I78" i="6"/>
  <c r="I77" i="6"/>
  <c r="I75" i="6"/>
  <c r="I73" i="6"/>
  <c r="I71" i="6"/>
  <c r="I70" i="6"/>
  <c r="I67" i="6"/>
  <c r="I65" i="6"/>
  <c r="I56" i="6"/>
  <c r="I54" i="6"/>
  <c r="I48" i="6"/>
  <c r="I39" i="6"/>
  <c r="I38" i="6"/>
  <c r="I37" i="6"/>
  <c r="I29" i="6"/>
  <c r="I27" i="6"/>
  <c r="I26" i="6"/>
  <c r="I25" i="6"/>
  <c r="I15" i="6"/>
  <c r="I14" i="6"/>
  <c r="I13" i="6"/>
  <c r="I6" i="6"/>
  <c r="I5" i="6"/>
  <c r="I3" i="6"/>
  <c r="B3" i="6"/>
  <c r="F5" i="1" l="1"/>
  <c r="F6" i="1"/>
  <c r="F7" i="1"/>
  <c r="F8" i="1"/>
  <c r="F9" i="1"/>
  <c r="F4" i="1"/>
</calcChain>
</file>

<file path=xl/sharedStrings.xml><?xml version="1.0" encoding="utf-8"?>
<sst xmlns="http://schemas.openxmlformats.org/spreadsheetml/2006/main" count="896" uniqueCount="121">
  <si>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</si>
  <si>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</si>
  <si>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</si>
  <si>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</si>
  <si>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</si>
  <si>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</si>
  <si>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</si>
  <si>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</si>
  <si>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</si>
  <si>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</si>
  <si>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</si>
  <si>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</si>
  <si>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</si>
  <si>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</si>
  <si>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</si>
  <si>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</si>
  <si>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</si>
  <si>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</si>
  <si>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</si>
  <si>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</si>
  <si>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</si>
  <si>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</si>
  <si>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</si>
  <si>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</si>
  <si>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</si>
  <si>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</si>
  <si>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</si>
  <si>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</si>
  <si>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</si>
  <si>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</si>
  <si>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</si>
  <si>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</si>
  <si>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</si>
  <si>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</si>
  <si>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</si>
  <si>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</si>
  <si>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</si>
  <si>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</si>
  <si>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</si>
  <si>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</si>
  <si>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</si>
  <si>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</si>
  <si>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</si>
  <si>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</si>
  <si>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</si>
  <si>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</si>
  <si>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</si>
  <si>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</si>
  <si>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</si>
  <si>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</si>
  <si>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</si>
  <si>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</si>
  <si>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</si>
  <si>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</si>
  <si>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</si>
  <si>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</si>
  <si>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</si>
  <si>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</si>
  <si>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</si>
  <si>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</si>
  <si>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</si>
  <si>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</si>
  <si>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</si>
  <si>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</si>
  <si>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</si>
  <si>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</si>
  <si>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e-administración para su relación con las AAPP</t>
  </si>
  <si>
    <t xml:space="preserve">ordenadores e incluso algún servidor (web, correo electrónico,…) </t>
  </si>
  <si>
    <t>conexión a Internet con wifi</t>
  </si>
  <si>
    <t>dispositivos móviles con datos y apps para su trabajo</t>
  </si>
  <si>
    <t>herramienta(s) comercial(es) de gestión de negocio (CRM y ERP)</t>
  </si>
  <si>
    <t xml:space="preserve">página web / tienda online y redes sociales que gestionan desde la empresa </t>
  </si>
  <si>
    <t>herramientas para empresas en la nube</t>
  </si>
  <si>
    <t>ordenadores y conexión a Internet (con wifi)</t>
  </si>
  <si>
    <t xml:space="preserve">dispositivos móviles para telefonía y datos  </t>
  </si>
  <si>
    <r>
      <t xml:space="preserve">soluciones tecnológicas gratuitas para la gestión empresarial como correo electrónico, CRM e incluso herramientas colaborativas o de almacenamiento </t>
    </r>
    <r>
      <rPr>
        <i/>
        <sz val="11"/>
        <color theme="1"/>
        <rFont val="Arial"/>
        <family val="2"/>
      </rPr>
      <t>cloud</t>
    </r>
  </si>
  <si>
    <t>una página web sencilla alojada y gestionada por un proveedor externo</t>
  </si>
  <si>
    <t>ordenador(es)</t>
  </si>
  <si>
    <t>móvil(es) principalmente para telefonía</t>
  </si>
  <si>
    <t>conexión a Internet e incluso wifi</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</si>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</sst>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i/>
      <sz val="11"/>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10" fillId="11" borderId="0" applyNumberFormat="0" applyBorder="0" applyAlignment="0" applyProtection="0"/>
    <xf numFmtId="0" fontId="10" fillId="12" borderId="0" applyNumberFormat="0" applyBorder="0" applyAlignment="0" applyProtection="0"/>
  </cellStyleXfs>
  <cellXfs count="9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Border="1" applyAlignment="1">
      <alignment vertical="center"/>
    </xf>
    <xf numFmtId="0" fontId="5" fillId="2" borderId="0" xfId="0" applyFont="1" applyFill="1" applyBorder="1" applyAlignment="1">
      <alignment vertical="center"/>
    </xf>
    <xf numFmtId="0" fontId="5" fillId="4" borderId="0" xfId="0" applyFont="1" applyFill="1" applyBorder="1" applyAlignment="1">
      <alignment vertical="center"/>
    </xf>
    <xf numFmtId="0" fontId="6" fillId="5"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7" fillId="2" borderId="1" xfId="0" applyNumberFormat="1" applyFont="1" applyFill="1" applyBorder="1" applyAlignment="1">
      <alignment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Border="1" applyAlignment="1">
      <alignment vertical="center"/>
    </xf>
    <xf numFmtId="0" fontId="5" fillId="8" borderId="0" xfId="0" applyFont="1" applyFill="1" applyBorder="1" applyAlignment="1">
      <alignment vertical="center"/>
    </xf>
    <xf numFmtId="0" fontId="5" fillId="10" borderId="0" xfId="0" applyFont="1" applyFill="1" applyBorder="1" applyAlignment="1">
      <alignment vertical="center"/>
    </xf>
    <xf numFmtId="0" fontId="5" fillId="9" borderId="0" xfId="0" applyFont="1" applyFill="1" applyBorder="1" applyAlignment="1">
      <alignment vertical="center"/>
    </xf>
    <xf numFmtId="0" fontId="0" fillId="0" borderId="0" xfId="0" applyProtection="1">
      <protection locked="0"/>
    </xf>
    <xf numFmtId="0" fontId="0" fillId="0" borderId="0" xfId="0" applyProtection="1"/>
    <xf numFmtId="0" fontId="0" fillId="0" borderId="0" xfId="0" applyAlignment="1" applyProtection="1">
      <alignment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5" fillId="0" borderId="8" xfId="0" applyFont="1" applyBorder="1" applyAlignment="1">
      <alignment vertical="center" wrapText="1"/>
    </xf>
    <xf numFmtId="0" fontId="5" fillId="0" borderId="13" xfId="0" applyFont="1" applyBorder="1" applyAlignment="1">
      <alignment wrapText="1"/>
    </xf>
    <xf numFmtId="0" fontId="5" fillId="0" borderId="0" xfId="0" applyFont="1"/>
    <xf numFmtId="0" fontId="12" fillId="0" borderId="15" xfId="0" applyFont="1" applyBorder="1" applyAlignment="1">
      <alignment horizontal="center"/>
    </xf>
    <xf numFmtId="0" fontId="12"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17" borderId="14" xfId="0" applyFont="1" applyFill="1" applyBorder="1" applyAlignment="1" applyProtection="1">
      <alignment horizontal="center"/>
      <protection locked="0"/>
    </xf>
    <xf numFmtId="0" fontId="5" fillId="0" borderId="0" xfId="0" applyFont="1" applyBorder="1"/>
    <xf numFmtId="0" fontId="5" fillId="0" borderId="0" xfId="0" applyFont="1" applyAlignment="1">
      <alignment vertical="center"/>
    </xf>
    <xf numFmtId="0" fontId="5" fillId="0" borderId="0" xfId="0" applyFont="1" applyAlignment="1">
      <alignment vertical="top"/>
    </xf>
    <xf numFmtId="0" fontId="15" fillId="0" borderId="0" xfId="0" applyFont="1" applyAlignment="1">
      <alignment horizontal="center" vertical="center"/>
    </xf>
    <xf numFmtId="0" fontId="16" fillId="0" borderId="16" xfId="0" applyFont="1" applyBorder="1"/>
    <xf numFmtId="0" fontId="5" fillId="0" borderId="16" xfId="0" applyFont="1" applyBorder="1"/>
    <xf numFmtId="0" fontId="15" fillId="0" borderId="0" xfId="0" applyFont="1" applyAlignment="1">
      <alignment horizontal="center" vertical="top"/>
    </xf>
    <xf numFmtId="0" fontId="13" fillId="0" borderId="0" xfId="0" applyFont="1" applyBorder="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4" fillId="0" borderId="23" xfId="0" applyFont="1" applyBorder="1" applyAlignment="1">
      <alignment vertical="center"/>
    </xf>
    <xf numFmtId="0" fontId="1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18" fillId="0" borderId="0" xfId="0" applyFont="1" applyBorder="1" applyAlignment="1">
      <alignment horizontal="center" vertical="center"/>
    </xf>
    <xf numFmtId="0" fontId="18" fillId="0" borderId="21" xfId="0" applyFont="1" applyBorder="1" applyAlignment="1">
      <alignment horizontal="center" vertical="center"/>
    </xf>
    <xf numFmtId="0" fontId="14" fillId="0" borderId="0" xfId="0" applyFont="1" applyBorder="1" applyAlignment="1">
      <alignment horizontal="center" vertical="center"/>
    </xf>
    <xf numFmtId="0" fontId="14" fillId="0" borderId="21" xfId="0" applyFont="1" applyBorder="1" applyAlignment="1">
      <alignment horizontal="center" vertical="center"/>
    </xf>
    <xf numFmtId="0" fontId="14" fillId="0" borderId="23" xfId="0" applyFont="1" applyBorder="1" applyAlignment="1">
      <alignment horizontal="center" vertical="center"/>
    </xf>
    <xf numFmtId="0" fontId="14"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7" borderId="0" xfId="0" applyFont="1" applyFill="1" applyBorder="1" applyAlignment="1">
      <alignment horizontal="left" vertical="center"/>
    </xf>
    <xf numFmtId="0" fontId="5" fillId="8" borderId="0" xfId="0" applyFont="1" applyFill="1" applyBorder="1" applyAlignment="1">
      <alignment horizontal="left" vertical="center"/>
    </xf>
    <xf numFmtId="0" fontId="6" fillId="5" borderId="0" xfId="0" applyFont="1" applyFill="1" applyBorder="1" applyAlignment="1">
      <alignment horizontal="center" vertical="center"/>
    </xf>
    <xf numFmtId="0" fontId="5" fillId="9" borderId="0" xfId="0" applyFont="1" applyFill="1" applyBorder="1" applyAlignment="1">
      <alignment horizontal="left" vertical="center"/>
    </xf>
    <xf numFmtId="0" fontId="5" fillId="10" borderId="0" xfId="0" applyFont="1" applyFill="1" applyBorder="1" applyAlignment="1">
      <alignment horizontal="left" vertical="center"/>
    </xf>
    <xf numFmtId="0" fontId="11" fillId="13" borderId="7" xfId="2" applyFont="1" applyFill="1" applyBorder="1" applyAlignment="1">
      <alignment horizontal="center" vertical="top"/>
    </xf>
    <xf numFmtId="0" fontId="11" fillId="13" borderId="10" xfId="2" applyFont="1" applyFill="1" applyBorder="1" applyAlignment="1">
      <alignment horizontal="center" vertical="top"/>
    </xf>
    <xf numFmtId="0" fontId="11" fillId="13" borderId="12" xfId="2" applyFont="1" applyFill="1" applyBorder="1" applyAlignment="1">
      <alignment horizontal="center" vertical="top"/>
    </xf>
    <xf numFmtId="0" fontId="11" fillId="15" borderId="7" xfId="3" applyFont="1" applyFill="1" applyBorder="1" applyAlignment="1">
      <alignment horizontal="center" vertical="top"/>
    </xf>
    <xf numFmtId="0" fontId="11" fillId="15" borderId="10" xfId="3" applyFont="1" applyFill="1" applyBorder="1" applyAlignment="1">
      <alignment horizontal="center" vertical="top"/>
    </xf>
    <xf numFmtId="0" fontId="11" fillId="15" borderId="12" xfId="3" applyFont="1" applyFill="1" applyBorder="1" applyAlignment="1">
      <alignment horizontal="center" vertical="top"/>
    </xf>
    <xf numFmtId="0" fontId="12" fillId="17" borderId="7" xfId="0" applyFont="1" applyFill="1" applyBorder="1" applyAlignment="1">
      <alignment horizontal="center" vertical="top"/>
    </xf>
    <xf numFmtId="0" fontId="12" fillId="17" borderId="10" xfId="0" applyFont="1" applyFill="1" applyBorder="1" applyAlignment="1">
      <alignment horizontal="center" vertical="top"/>
    </xf>
    <xf numFmtId="0" fontId="12" fillId="17" borderId="12"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Border="1" applyAlignment="1">
      <alignment horizontal="center" vertical="center" wrapText="1"/>
    </xf>
  </cellXfs>
  <cellStyles count="4">
    <cellStyle name="Énfasis1" xfId="2" builtinId="29"/>
    <cellStyle name="Énfasis5" xfId="3" builtinId="45"/>
    <cellStyle name="Normal" xfId="0" builtinId="0"/>
    <cellStyle name="Normal_ES1 Quart" xfId="1" xr:uid="{00000000-0005-0000-0000-000003000000}"/>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a:extLst>
            <a:ext uri="{FF2B5EF4-FFF2-40B4-BE49-F238E27FC236}">
              <a16:creationId xmlns:a16="http://schemas.microsoft.com/office/drawing/2014/main" id="{00000000-0008-0000-0100-000002000000}"/>
            </a:ext>
          </a:extLst>
        </xdr:cNvPr>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a:extLst>
            <a:ext uri="{FF2B5EF4-FFF2-40B4-BE49-F238E27FC236}">
              <a16:creationId xmlns:a16="http://schemas.microsoft.com/office/drawing/2014/main" id="{00000000-0008-0000-0100-000011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a:extLst>
            <a:ext uri="{FF2B5EF4-FFF2-40B4-BE49-F238E27FC236}">
              <a16:creationId xmlns:a16="http://schemas.microsoft.com/office/drawing/2014/main" id="{00000000-0008-0000-0100-000005000000}"/>
            </a:ext>
          </a:extLst>
        </xdr:cNvPr>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a:extLst>
            <a:ext uri="{FF2B5EF4-FFF2-40B4-BE49-F238E27FC236}">
              <a16:creationId xmlns:a16="http://schemas.microsoft.com/office/drawing/2014/main" id="{00000000-0008-0000-0200-000014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a:extLst>
            <a:ext uri="{FF2B5EF4-FFF2-40B4-BE49-F238E27FC236}">
              <a16:creationId xmlns:a16="http://schemas.microsoft.com/office/drawing/2014/main" id="{00000000-0008-0000-0200-000009000000}"/>
            </a:ext>
          </a:extLst>
        </xdr:cNvPr>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a:extLst>
            <a:ext uri="{FF2B5EF4-FFF2-40B4-BE49-F238E27FC236}">
              <a16:creationId xmlns:a16="http://schemas.microsoft.com/office/drawing/2014/main" id="{00000000-0008-0000-0200-0000160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a:extLst>
            <a:ext uri="{FF2B5EF4-FFF2-40B4-BE49-F238E27FC236}">
              <a16:creationId xmlns:a16="http://schemas.microsoft.com/office/drawing/2014/main" id="{00000000-0008-0000-0200-00000C000000}"/>
            </a:ext>
          </a:extLst>
        </xdr:cNvPr>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a:extLst>
            <a:ext uri="{FF2B5EF4-FFF2-40B4-BE49-F238E27FC236}">
              <a16:creationId xmlns:a16="http://schemas.microsoft.com/office/drawing/2014/main" id="{00000000-0008-0000-0300-000006000000}"/>
            </a:ext>
          </a:extLst>
        </xdr:cNvPr>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a:extLst>
            <a:ext uri="{FF2B5EF4-FFF2-40B4-BE49-F238E27FC236}">
              <a16:creationId xmlns:a16="http://schemas.microsoft.com/office/drawing/2014/main" id="{00000000-0008-0000-0300-00001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a:extLst>
            <a:ext uri="{FF2B5EF4-FFF2-40B4-BE49-F238E27FC236}">
              <a16:creationId xmlns:a16="http://schemas.microsoft.com/office/drawing/2014/main" id="{00000000-0008-0000-0300-000008000000}"/>
            </a:ext>
          </a:extLst>
        </xdr:cNvPr>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0</xdr:col>
          <xdr:colOff>1400175</xdr:colOff>
          <xdr:row>2</xdr:row>
          <xdr:rowOff>142875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22"/>
  <sheetViews>
    <sheetView workbookViewId="0">
      <selection activeCell="D25" sqref="D25"/>
    </sheetView>
  </sheetViews>
  <sheetFormatPr baseColWidth="10" defaultColWidth="11.5703125" defaultRowHeight="14.25" x14ac:dyDescent="0.2"/>
  <cols>
    <col min="1" max="1" width="3.28515625" style="32" customWidth="1"/>
    <col min="2" max="6" width="11.5703125" style="32"/>
    <col min="7" max="7" width="13.28515625" style="32" customWidth="1"/>
    <col min="8" max="13" width="11.5703125" style="32"/>
    <col min="14" max="14" width="22" style="32" customWidth="1"/>
    <col min="15" max="16384" width="11.5703125" style="32"/>
  </cols>
  <sheetData>
    <row r="1" spans="1:14" ht="23.45" customHeight="1" thickTop="1" x14ac:dyDescent="0.2">
      <c r="A1" s="55"/>
      <c r="B1" s="56"/>
      <c r="C1" s="56"/>
      <c r="D1" s="56"/>
      <c r="F1" s="64" t="s">
        <v>0</v>
      </c>
      <c r="G1" s="64"/>
      <c r="H1" s="64"/>
      <c r="I1" s="64"/>
      <c r="J1" s="64"/>
      <c r="K1" s="64"/>
      <c r="L1" s="64"/>
      <c r="M1" s="64"/>
      <c r="N1" s="65"/>
    </row>
    <row r="2" spans="1:14" ht="14.45" customHeight="1" x14ac:dyDescent="0.2">
      <c r="A2" s="57"/>
      <c r="B2" s="47"/>
      <c r="C2" s="47"/>
      <c r="D2" s="47"/>
      <c r="E2" s="54"/>
      <c r="F2" s="66"/>
      <c r="G2" s="66"/>
      <c r="H2" s="66"/>
      <c r="I2" s="66"/>
      <c r="J2" s="66"/>
      <c r="K2" s="66"/>
      <c r="L2" s="66"/>
      <c r="M2" s="66"/>
      <c r="N2" s="67"/>
    </row>
    <row r="3" spans="1:14" ht="18" customHeight="1" x14ac:dyDescent="0.2">
      <c r="A3" s="57"/>
      <c r="B3" s="47"/>
      <c r="C3" s="47"/>
      <c r="D3" s="47"/>
      <c r="F3" s="68" t="s">
        <v>116</v>
      </c>
      <c r="G3" s="68"/>
      <c r="H3" s="68"/>
      <c r="I3" s="68"/>
      <c r="J3" s="68"/>
      <c r="K3" s="68"/>
      <c r="L3" s="68"/>
      <c r="M3" s="68"/>
      <c r="N3" s="69"/>
    </row>
    <row r="4" spans="1:14" ht="14.45" customHeight="1" thickBot="1" x14ac:dyDescent="0.25">
      <c r="A4" s="58"/>
      <c r="B4" s="59"/>
      <c r="C4" s="59"/>
      <c r="D4" s="59"/>
      <c r="E4" s="60"/>
      <c r="F4" s="70"/>
      <c r="G4" s="70"/>
      <c r="H4" s="70"/>
      <c r="I4" s="70"/>
      <c r="J4" s="70"/>
      <c r="K4" s="70"/>
      <c r="L4" s="70"/>
      <c r="M4" s="70"/>
      <c r="N4" s="71"/>
    </row>
    <row r="5" spans="1:14" ht="15" thickTop="1" x14ac:dyDescent="0.2"/>
    <row r="6" spans="1:14" ht="18" customHeight="1" thickBot="1" x14ac:dyDescent="0.3">
      <c r="A6" s="61" t="s">
        <v>103</v>
      </c>
      <c r="B6" s="51" t="s">
        <v>104</v>
      </c>
      <c r="C6" s="52"/>
      <c r="D6" s="52"/>
      <c r="E6" s="52"/>
      <c r="F6" s="52"/>
      <c r="G6" s="52"/>
      <c r="H6" s="52"/>
      <c r="I6" s="52"/>
      <c r="J6" s="52"/>
      <c r="K6" s="52"/>
      <c r="L6" s="52"/>
      <c r="M6" s="52"/>
      <c r="N6" s="52"/>
    </row>
    <row r="7" spans="1:14" x14ac:dyDescent="0.2">
      <c r="A7" s="62"/>
    </row>
    <row r="8" spans="1:14" ht="25.15" customHeight="1" x14ac:dyDescent="0.2">
      <c r="A8" s="62"/>
      <c r="B8" s="49" t="s">
        <v>105</v>
      </c>
    </row>
    <row r="9" spans="1:14" s="49" customFormat="1" ht="25.15" customHeight="1" x14ac:dyDescent="0.25">
      <c r="A9" s="62"/>
      <c r="B9" s="49" t="s">
        <v>106</v>
      </c>
    </row>
    <row r="10" spans="1:14" s="49" customFormat="1" ht="18" customHeight="1" x14ac:dyDescent="0.25">
      <c r="A10" s="50" t="s">
        <v>113</v>
      </c>
      <c r="B10" s="48" t="s">
        <v>107</v>
      </c>
    </row>
    <row r="11" spans="1:14" s="49" customFormat="1" ht="18" customHeight="1" x14ac:dyDescent="0.25">
      <c r="A11" s="50" t="s">
        <v>113</v>
      </c>
      <c r="B11" s="48" t="s">
        <v>108</v>
      </c>
    </row>
    <row r="12" spans="1:14" s="49" customFormat="1" ht="18" customHeight="1" x14ac:dyDescent="0.25">
      <c r="A12" s="50" t="s">
        <v>113</v>
      </c>
      <c r="B12" s="48" t="s">
        <v>109</v>
      </c>
    </row>
    <row r="13" spans="1:14" s="49" customFormat="1" ht="18" customHeight="1" x14ac:dyDescent="0.25">
      <c r="A13" s="50" t="s">
        <v>113</v>
      </c>
      <c r="B13" s="48" t="s">
        <v>110</v>
      </c>
    </row>
    <row r="14" spans="1:14" s="49" customFormat="1" ht="18" customHeight="1" x14ac:dyDescent="0.25">
      <c r="A14" s="50" t="s">
        <v>113</v>
      </c>
      <c r="B14" s="48" t="s">
        <v>111</v>
      </c>
    </row>
    <row r="15" spans="1:14" s="49" customFormat="1" ht="18" customHeight="1" x14ac:dyDescent="0.25">
      <c r="A15" s="50" t="s">
        <v>113</v>
      </c>
      <c r="B15" s="48" t="s">
        <v>112</v>
      </c>
    </row>
    <row r="16" spans="1:14" ht="12.6" customHeight="1" x14ac:dyDescent="0.2">
      <c r="A16" s="62"/>
    </row>
    <row r="17" spans="1:14" ht="18" customHeight="1" thickBot="1" x14ac:dyDescent="0.3">
      <c r="A17" s="61" t="s">
        <v>114</v>
      </c>
      <c r="B17" s="51" t="s">
        <v>115</v>
      </c>
      <c r="C17" s="52"/>
      <c r="D17" s="52"/>
      <c r="E17" s="52"/>
      <c r="F17" s="52"/>
      <c r="G17" s="52"/>
      <c r="H17" s="52"/>
      <c r="I17" s="52"/>
      <c r="J17" s="52"/>
      <c r="K17" s="52"/>
      <c r="L17" s="52"/>
      <c r="M17" s="52"/>
      <c r="N17" s="52"/>
    </row>
    <row r="18" spans="1:14" ht="18" customHeight="1" x14ac:dyDescent="0.2">
      <c r="A18" s="62"/>
    </row>
    <row r="19" spans="1:14" ht="39.6" customHeight="1" x14ac:dyDescent="0.2">
      <c r="A19" s="53" t="s">
        <v>113</v>
      </c>
      <c r="B19" s="63" t="s">
        <v>117</v>
      </c>
      <c r="C19" s="63"/>
      <c r="D19" s="63"/>
      <c r="E19" s="63"/>
      <c r="F19" s="63"/>
      <c r="G19" s="63"/>
      <c r="H19" s="63"/>
      <c r="I19" s="63"/>
      <c r="J19" s="63"/>
      <c r="K19" s="63"/>
      <c r="L19" s="63"/>
      <c r="M19" s="63"/>
      <c r="N19" s="63"/>
    </row>
    <row r="20" spans="1:14" ht="51" customHeight="1" x14ac:dyDescent="0.2">
      <c r="A20" s="53" t="s">
        <v>113</v>
      </c>
      <c r="B20" s="63" t="s">
        <v>118</v>
      </c>
      <c r="C20" s="63"/>
      <c r="D20" s="63"/>
      <c r="E20" s="63"/>
      <c r="F20" s="63"/>
      <c r="G20" s="63"/>
      <c r="H20" s="63"/>
      <c r="I20" s="63"/>
      <c r="J20" s="63"/>
      <c r="K20" s="63"/>
      <c r="L20" s="63"/>
      <c r="M20" s="63"/>
      <c r="N20" s="63"/>
    </row>
    <row r="21" spans="1:14" ht="41.45" customHeight="1" x14ac:dyDescent="0.2">
      <c r="A21" s="53" t="s">
        <v>113</v>
      </c>
      <c r="B21" s="63" t="s">
        <v>119</v>
      </c>
      <c r="C21" s="63"/>
      <c r="D21" s="63"/>
      <c r="E21" s="63"/>
      <c r="F21" s="63"/>
      <c r="G21" s="63"/>
      <c r="H21" s="63"/>
      <c r="I21" s="63"/>
      <c r="J21" s="63"/>
      <c r="K21" s="63"/>
      <c r="L21" s="63"/>
      <c r="M21" s="63"/>
      <c r="N21" s="63"/>
    </row>
    <row r="22" spans="1:14" ht="51.6" customHeight="1" x14ac:dyDescent="0.2">
      <c r="A22" s="53" t="s">
        <v>113</v>
      </c>
      <c r="B22" s="63" t="s">
        <v>120</v>
      </c>
      <c r="C22" s="63"/>
      <c r="D22" s="63"/>
      <c r="E22" s="63"/>
      <c r="F22" s="63"/>
      <c r="G22" s="63"/>
      <c r="H22" s="63"/>
      <c r="I22" s="63"/>
      <c r="J22" s="63"/>
      <c r="K22" s="63"/>
      <c r="L22" s="63"/>
      <c r="M22" s="63"/>
      <c r="N22" s="63"/>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1:F12"/>
  <sheetViews>
    <sheetView zoomScale="85" zoomScaleNormal="85" workbookViewId="0">
      <selection activeCell="E18" sqref="E18"/>
    </sheetView>
  </sheetViews>
  <sheetFormatPr baseColWidth="10" defaultColWidth="11.42578125" defaultRowHeight="21.75" customHeight="1" x14ac:dyDescent="0.25"/>
  <cols>
    <col min="1" max="1" width="5.28515625" style="2" customWidth="1"/>
    <col min="2" max="2" width="34.5703125" style="2" customWidth="1"/>
    <col min="3" max="3" width="84.28515625" style="2" customWidth="1"/>
    <col min="4" max="4" width="18.7109375" style="2" customWidth="1"/>
    <col min="5" max="5" width="18.140625" style="2" customWidth="1"/>
    <col min="6" max="6" width="18.28515625" style="2" customWidth="1"/>
    <col min="7" max="16384" width="11.42578125" style="2"/>
  </cols>
  <sheetData>
    <row r="1" spans="2:6" ht="408" customHeight="1" thickBot="1" x14ac:dyDescent="0.3"/>
    <row r="2" spans="2:6" ht="35.25" customHeight="1" thickBot="1" x14ac:dyDescent="0.3">
      <c r="B2" s="72" t="s">
        <v>0</v>
      </c>
      <c r="C2" s="73"/>
      <c r="D2" s="73"/>
      <c r="E2" s="73"/>
      <c r="F2" s="74"/>
    </row>
    <row r="3" spans="2:6" ht="21.75" customHeight="1" x14ac:dyDescent="0.25">
      <c r="B3" s="8" t="s">
        <v>1</v>
      </c>
      <c r="C3" s="8" t="s">
        <v>2</v>
      </c>
      <c r="D3" s="8" t="s">
        <v>3</v>
      </c>
      <c r="E3" s="8" t="s">
        <v>4</v>
      </c>
      <c r="F3" s="8" t="s">
        <v>5</v>
      </c>
    </row>
    <row r="4" spans="2:6" ht="26.25" customHeight="1" x14ac:dyDescent="0.25">
      <c r="B4" s="13" t="s">
        <v>6</v>
      </c>
      <c r="C4" s="14" t="s">
        <v>40</v>
      </c>
      <c r="D4" s="15">
        <v>2</v>
      </c>
      <c r="E4" s="15">
        <v>3</v>
      </c>
      <c r="F4" s="15">
        <f t="shared" ref="F4:F9" si="0">D4*E4</f>
        <v>6</v>
      </c>
    </row>
    <row r="5" spans="2:6" ht="26.25" customHeight="1" x14ac:dyDescent="0.25">
      <c r="B5" s="13" t="s">
        <v>6</v>
      </c>
      <c r="C5" s="14" t="s">
        <v>46</v>
      </c>
      <c r="D5" s="15">
        <v>1</v>
      </c>
      <c r="E5" s="15">
        <v>3</v>
      </c>
      <c r="F5" s="15">
        <f t="shared" si="0"/>
        <v>3</v>
      </c>
    </row>
    <row r="6" spans="2:6" ht="26.25" customHeight="1" x14ac:dyDescent="0.25">
      <c r="B6" s="13" t="s">
        <v>7</v>
      </c>
      <c r="C6" s="14" t="s">
        <v>50</v>
      </c>
      <c r="D6" s="15">
        <v>1</v>
      </c>
      <c r="E6" s="15">
        <v>2</v>
      </c>
      <c r="F6" s="15">
        <f t="shared" si="0"/>
        <v>2</v>
      </c>
    </row>
    <row r="7" spans="2:6" ht="26.25" customHeight="1" x14ac:dyDescent="0.25">
      <c r="B7" s="13" t="s">
        <v>7</v>
      </c>
      <c r="C7" s="14" t="s">
        <v>55</v>
      </c>
      <c r="D7" s="15">
        <v>2</v>
      </c>
      <c r="E7" s="15">
        <v>1</v>
      </c>
      <c r="F7" s="15">
        <f t="shared" si="0"/>
        <v>2</v>
      </c>
    </row>
    <row r="8" spans="2:6" ht="26.25" customHeight="1" x14ac:dyDescent="0.25">
      <c r="B8" s="16" t="s">
        <v>8</v>
      </c>
      <c r="C8" s="14" t="s">
        <v>55</v>
      </c>
      <c r="D8" s="17">
        <v>3</v>
      </c>
      <c r="E8" s="17">
        <v>2</v>
      </c>
      <c r="F8" s="15">
        <f t="shared" si="0"/>
        <v>6</v>
      </c>
    </row>
    <row r="9" spans="2:6" ht="26.25" customHeight="1" x14ac:dyDescent="0.25">
      <c r="B9" s="16" t="s">
        <v>8</v>
      </c>
      <c r="C9" s="14" t="s">
        <v>32</v>
      </c>
      <c r="D9" s="17">
        <v>1</v>
      </c>
      <c r="E9" s="17">
        <v>2</v>
      </c>
      <c r="F9" s="15">
        <f t="shared" si="0"/>
        <v>2</v>
      </c>
    </row>
    <row r="10" spans="2:6" ht="26.25" customHeight="1" x14ac:dyDescent="0.25">
      <c r="B10" s="18" t="s">
        <v>9</v>
      </c>
      <c r="C10" s="14"/>
      <c r="D10" s="16"/>
      <c r="E10" s="16"/>
      <c r="F10" s="15"/>
    </row>
    <row r="11" spans="2:6" ht="26.25" customHeight="1" x14ac:dyDescent="0.25">
      <c r="B11" s="18"/>
      <c r="C11" s="16"/>
      <c r="D11" s="16"/>
      <c r="E11" s="16"/>
      <c r="F11" s="15"/>
    </row>
    <row r="12" spans="2:6" ht="26.25" customHeight="1" x14ac:dyDescent="0.25">
      <c r="B12" s="18"/>
      <c r="C12" s="19" t="s">
        <v>28</v>
      </c>
      <c r="D12" s="16"/>
      <c r="E12" s="16"/>
      <c r="F12" s="15"/>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E19"/>
  <sheetViews>
    <sheetView zoomScaleNormal="100" workbookViewId="0">
      <selection activeCell="C5" sqref="C5"/>
    </sheetView>
  </sheetViews>
  <sheetFormatPr baseColWidth="10" defaultColWidth="11.42578125" defaultRowHeight="14.25" x14ac:dyDescent="0.25"/>
  <cols>
    <col min="1" max="1" width="7.42578125" style="2" customWidth="1"/>
    <col min="2" max="2" width="16.140625" style="2" customWidth="1"/>
    <col min="3" max="3" width="149.85546875" style="2" customWidth="1"/>
    <col min="4" max="5" width="11.42578125" style="2"/>
    <col min="6" max="6" width="16.7109375" style="2" customWidth="1"/>
    <col min="7" max="7" width="11.42578125" style="2"/>
    <col min="8" max="8" width="11.42578125" style="2" customWidth="1"/>
    <col min="9" max="9" width="11.42578125" style="2"/>
    <col min="10" max="10" width="9" style="2" customWidth="1"/>
    <col min="11" max="16384" width="11.42578125" style="2"/>
  </cols>
  <sheetData>
    <row r="1" spans="2:5" ht="174.75" customHeight="1" thickBot="1" x14ac:dyDescent="0.3"/>
    <row r="2" spans="2:5" ht="27" customHeight="1" thickBot="1" x14ac:dyDescent="0.3">
      <c r="B2" s="75" t="s">
        <v>18</v>
      </c>
      <c r="C2" s="76"/>
    </row>
    <row r="3" spans="2:5" ht="27" customHeight="1" x14ac:dyDescent="0.25">
      <c r="B3" s="8" t="s">
        <v>16</v>
      </c>
      <c r="C3" s="8" t="s">
        <v>17</v>
      </c>
    </row>
    <row r="4" spans="2:5" ht="27" customHeight="1" x14ac:dyDescent="0.25">
      <c r="B4" s="9" t="s">
        <v>25</v>
      </c>
      <c r="C4" s="10" t="s">
        <v>10</v>
      </c>
    </row>
    <row r="5" spans="2:5" ht="27" customHeight="1" x14ac:dyDescent="0.25">
      <c r="B5" s="9" t="s">
        <v>26</v>
      </c>
      <c r="C5" s="10" t="s">
        <v>11</v>
      </c>
    </row>
    <row r="6" spans="2:5" ht="27" customHeight="1" x14ac:dyDescent="0.25">
      <c r="B6" s="9" t="s">
        <v>27</v>
      </c>
      <c r="C6" s="10" t="s">
        <v>12</v>
      </c>
    </row>
    <row r="7" spans="2:5" ht="27" customHeight="1" thickBot="1" x14ac:dyDescent="0.3"/>
    <row r="8" spans="2:5" ht="27" customHeight="1" thickBot="1" x14ac:dyDescent="0.3">
      <c r="B8" s="75" t="s">
        <v>19</v>
      </c>
      <c r="C8" s="76"/>
    </row>
    <row r="9" spans="2:5" ht="27" customHeight="1" x14ac:dyDescent="0.25">
      <c r="B9" s="8" t="s">
        <v>16</v>
      </c>
      <c r="C9" s="8" t="s">
        <v>17</v>
      </c>
      <c r="E9" s="2" t="s">
        <v>23</v>
      </c>
    </row>
    <row r="10" spans="2:5" ht="27" customHeight="1" x14ac:dyDescent="0.25">
      <c r="B10" s="9" t="s">
        <v>25</v>
      </c>
      <c r="C10" s="11" t="s">
        <v>13</v>
      </c>
    </row>
    <row r="11" spans="2:5" ht="27" customHeight="1" x14ac:dyDescent="0.25">
      <c r="B11" s="9" t="s">
        <v>26</v>
      </c>
      <c r="C11" s="11" t="s">
        <v>14</v>
      </c>
    </row>
    <row r="12" spans="2:5" ht="27" customHeight="1" x14ac:dyDescent="0.25">
      <c r="B12" s="9" t="s">
        <v>27</v>
      </c>
      <c r="C12" s="11" t="s">
        <v>15</v>
      </c>
    </row>
    <row r="13" spans="2:5" ht="27" customHeight="1" thickBot="1" x14ac:dyDescent="0.3"/>
    <row r="14" spans="2:5" ht="27" customHeight="1" thickBot="1" x14ac:dyDescent="0.3">
      <c r="B14" s="75" t="s">
        <v>20</v>
      </c>
      <c r="C14" s="76"/>
    </row>
    <row r="15" spans="2:5" ht="27" customHeight="1" x14ac:dyDescent="0.25">
      <c r="B15" s="8" t="s">
        <v>21</v>
      </c>
      <c r="C15" s="8" t="s">
        <v>17</v>
      </c>
    </row>
    <row r="16" spans="2:5" ht="27" customHeight="1" x14ac:dyDescent="0.25">
      <c r="B16" s="12" t="s">
        <v>60</v>
      </c>
      <c r="C16" s="11" t="s">
        <v>22</v>
      </c>
    </row>
    <row r="17" spans="1:3" ht="27" customHeight="1" x14ac:dyDescent="0.25">
      <c r="A17" s="2" t="s">
        <v>23</v>
      </c>
      <c r="B17" s="1" t="s">
        <v>61</v>
      </c>
      <c r="C17" s="11" t="s">
        <v>24</v>
      </c>
    </row>
    <row r="18" spans="1:3" ht="27" customHeight="1" x14ac:dyDescent="0.25">
      <c r="A18" s="2" t="s">
        <v>80</v>
      </c>
    </row>
    <row r="19" spans="1:3" x14ac:dyDescent="0.25">
      <c r="A19" s="2" t="s">
        <v>81</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L33"/>
  <sheetViews>
    <sheetView topLeftCell="A2" zoomScale="85" zoomScaleNormal="85" workbookViewId="0">
      <selection activeCell="B21" sqref="B20:B21"/>
    </sheetView>
  </sheetViews>
  <sheetFormatPr baseColWidth="10" defaultColWidth="11.42578125" defaultRowHeight="14.25" x14ac:dyDescent="0.25"/>
  <cols>
    <col min="1" max="1" width="11.42578125" style="2"/>
    <col min="2" max="2" width="58.42578125" style="2" customWidth="1"/>
    <col min="3" max="3" width="4.85546875" style="2" customWidth="1"/>
    <col min="4" max="7" width="11.42578125" style="2"/>
    <col min="8" max="8" width="19" style="2" customWidth="1"/>
    <col min="9" max="9" width="5.7109375" style="2" customWidth="1"/>
    <col min="10" max="10" width="11.42578125" style="2"/>
    <col min="11" max="11" width="11.42578125" style="2" customWidth="1"/>
    <col min="12" max="12" width="23" style="2" customWidth="1"/>
    <col min="13" max="16384" width="11.42578125" style="2"/>
  </cols>
  <sheetData>
    <row r="1" spans="2:12" ht="240.75" customHeight="1" x14ac:dyDescent="0.25"/>
    <row r="2" spans="2:12" ht="23.25" customHeight="1" x14ac:dyDescent="0.25">
      <c r="B2" s="6" t="s">
        <v>59</v>
      </c>
      <c r="C2" s="7"/>
      <c r="D2" s="79" t="s">
        <v>59</v>
      </c>
      <c r="E2" s="79"/>
      <c r="F2" s="79"/>
      <c r="G2" s="79"/>
      <c r="H2" s="79"/>
      <c r="I2" s="7"/>
      <c r="J2" s="79" t="s">
        <v>59</v>
      </c>
      <c r="K2" s="79"/>
      <c r="L2" s="79"/>
    </row>
    <row r="3" spans="2:12" ht="23.25" customHeight="1" x14ac:dyDescent="0.25">
      <c r="B3" s="5" t="s">
        <v>29</v>
      </c>
      <c r="C3" s="4"/>
      <c r="D3" s="78" t="s">
        <v>32</v>
      </c>
      <c r="E3" s="78"/>
      <c r="F3" s="78"/>
      <c r="G3" s="78"/>
      <c r="H3" s="78"/>
      <c r="I3" s="4"/>
      <c r="J3" s="81" t="s">
        <v>37</v>
      </c>
      <c r="K3" s="81"/>
      <c r="L3" s="81"/>
    </row>
    <row r="4" spans="2:12" ht="23.25" customHeight="1" x14ac:dyDescent="0.25">
      <c r="B4" s="5" t="s">
        <v>30</v>
      </c>
      <c r="C4" s="4"/>
      <c r="D4" s="78" t="s">
        <v>33</v>
      </c>
      <c r="E4" s="78"/>
      <c r="F4" s="78"/>
      <c r="G4" s="78"/>
      <c r="H4" s="78"/>
      <c r="I4" s="4"/>
      <c r="J4" s="81" t="s">
        <v>38</v>
      </c>
      <c r="K4" s="81"/>
      <c r="L4" s="81"/>
    </row>
    <row r="5" spans="2:12" ht="23.25" customHeight="1" x14ac:dyDescent="0.25">
      <c r="B5" s="5" t="s">
        <v>31</v>
      </c>
      <c r="C5" s="4"/>
      <c r="D5" s="78" t="s">
        <v>34</v>
      </c>
      <c r="E5" s="78"/>
      <c r="F5" s="78"/>
      <c r="G5" s="78"/>
      <c r="H5" s="78"/>
      <c r="I5" s="4"/>
      <c r="J5" s="81" t="s">
        <v>39</v>
      </c>
      <c r="K5" s="81"/>
      <c r="L5" s="81"/>
    </row>
    <row r="6" spans="2:12" ht="23.25" customHeight="1" x14ac:dyDescent="0.25">
      <c r="B6" s="4"/>
      <c r="C6" s="4"/>
      <c r="D6" s="78" t="s">
        <v>35</v>
      </c>
      <c r="E6" s="78"/>
      <c r="F6" s="78"/>
      <c r="G6" s="78"/>
      <c r="H6" s="78"/>
      <c r="I6" s="4"/>
      <c r="J6" s="4"/>
      <c r="K6" s="7"/>
      <c r="L6" s="4"/>
    </row>
    <row r="7" spans="2:12" ht="23.25" customHeight="1" x14ac:dyDescent="0.25">
      <c r="B7" s="6" t="s">
        <v>59</v>
      </c>
      <c r="C7" s="4"/>
      <c r="D7" s="78" t="s">
        <v>36</v>
      </c>
      <c r="E7" s="78"/>
      <c r="F7" s="78"/>
      <c r="G7" s="78"/>
      <c r="H7" s="78"/>
      <c r="I7" s="4"/>
      <c r="J7" s="79" t="s">
        <v>59</v>
      </c>
      <c r="K7" s="79"/>
      <c r="L7" s="79"/>
    </row>
    <row r="8" spans="2:12" ht="23.25" customHeight="1" x14ac:dyDescent="0.25">
      <c r="B8" s="3" t="s">
        <v>40</v>
      </c>
      <c r="C8" s="4"/>
      <c r="D8" s="4"/>
      <c r="E8" s="4"/>
      <c r="F8" s="4"/>
      <c r="G8" s="4"/>
      <c r="H8" s="4"/>
      <c r="I8" s="4"/>
      <c r="J8" s="80" t="s">
        <v>55</v>
      </c>
      <c r="K8" s="80"/>
      <c r="L8" s="80"/>
    </row>
    <row r="9" spans="2:12" ht="23.25" customHeight="1" x14ac:dyDescent="0.25">
      <c r="B9" s="3" t="s">
        <v>41</v>
      </c>
      <c r="C9" s="4"/>
      <c r="D9" s="79" t="s">
        <v>59</v>
      </c>
      <c r="E9" s="79"/>
      <c r="F9" s="79"/>
      <c r="G9" s="79"/>
      <c r="H9" s="79"/>
      <c r="I9" s="4"/>
      <c r="J9" s="80" t="s">
        <v>56</v>
      </c>
      <c r="K9" s="80"/>
      <c r="L9" s="80"/>
    </row>
    <row r="10" spans="2:12" ht="23.25" customHeight="1" x14ac:dyDescent="0.25">
      <c r="B10" s="3" t="s">
        <v>42</v>
      </c>
      <c r="C10" s="4"/>
      <c r="D10" s="77" t="s">
        <v>46</v>
      </c>
      <c r="E10" s="77"/>
      <c r="F10" s="77"/>
      <c r="G10" s="77"/>
      <c r="H10" s="77"/>
      <c r="I10" s="4"/>
      <c r="J10" s="80" t="s">
        <v>52</v>
      </c>
      <c r="K10" s="80"/>
      <c r="L10" s="80"/>
    </row>
    <row r="11" spans="2:12" ht="23.25" customHeight="1" x14ac:dyDescent="0.25">
      <c r="B11" s="3" t="s">
        <v>43</v>
      </c>
      <c r="C11" s="4"/>
      <c r="D11" s="77" t="s">
        <v>47</v>
      </c>
      <c r="E11" s="77"/>
      <c r="F11" s="77"/>
      <c r="G11" s="77"/>
      <c r="H11" s="77"/>
      <c r="I11" s="4"/>
      <c r="J11" s="80" t="s">
        <v>57</v>
      </c>
      <c r="K11" s="80"/>
      <c r="L11" s="80"/>
    </row>
    <row r="12" spans="2:12" ht="23.25" customHeight="1" x14ac:dyDescent="0.25">
      <c r="B12" s="3" t="s">
        <v>44</v>
      </c>
      <c r="C12" s="4"/>
      <c r="D12" s="77" t="s">
        <v>48</v>
      </c>
      <c r="E12" s="77"/>
      <c r="F12" s="77"/>
      <c r="G12" s="77"/>
      <c r="H12" s="77"/>
      <c r="I12" s="4"/>
      <c r="J12" s="80" t="s">
        <v>58</v>
      </c>
      <c r="K12" s="80"/>
      <c r="L12" s="80"/>
    </row>
    <row r="13" spans="2:12" ht="23.25" customHeight="1" x14ac:dyDescent="0.25">
      <c r="B13" s="3" t="s">
        <v>45</v>
      </c>
      <c r="C13" s="4"/>
      <c r="D13" s="77" t="s">
        <v>49</v>
      </c>
      <c r="E13" s="77"/>
      <c r="F13" s="77"/>
      <c r="G13" s="77"/>
      <c r="H13" s="77"/>
      <c r="I13" s="4"/>
      <c r="J13" s="4"/>
      <c r="K13" s="4"/>
      <c r="L13" s="4"/>
    </row>
    <row r="14" spans="2:12" ht="23.25" customHeight="1" x14ac:dyDescent="0.25">
      <c r="B14" s="4"/>
      <c r="C14" s="4"/>
      <c r="D14" s="77" t="s">
        <v>50</v>
      </c>
      <c r="E14" s="77"/>
      <c r="F14" s="77"/>
      <c r="G14" s="77"/>
      <c r="H14" s="77"/>
      <c r="I14" s="4"/>
      <c r="J14" s="4"/>
      <c r="K14" s="4"/>
      <c r="L14" s="4"/>
    </row>
    <row r="15" spans="2:12" ht="23.25" customHeight="1" x14ac:dyDescent="0.25">
      <c r="B15" s="4"/>
      <c r="C15" s="4"/>
      <c r="D15" s="77" t="s">
        <v>51</v>
      </c>
      <c r="E15" s="77"/>
      <c r="F15" s="77"/>
      <c r="G15" s="77"/>
      <c r="H15" s="77"/>
      <c r="I15" s="4"/>
      <c r="J15" s="4"/>
      <c r="K15" s="4"/>
      <c r="L15" s="4"/>
    </row>
    <row r="16" spans="2:12" ht="23.25" customHeight="1" x14ac:dyDescent="0.25">
      <c r="B16" s="4"/>
      <c r="C16" s="4"/>
      <c r="D16" s="77" t="s">
        <v>52</v>
      </c>
      <c r="E16" s="77"/>
      <c r="F16" s="77"/>
      <c r="G16" s="77"/>
      <c r="H16" s="77"/>
      <c r="I16" s="4"/>
      <c r="J16" s="4"/>
      <c r="K16" s="4"/>
      <c r="L16" s="4"/>
    </row>
    <row r="17" spans="2:12" ht="23.25" customHeight="1" x14ac:dyDescent="0.25">
      <c r="B17" s="4"/>
      <c r="C17" s="4"/>
      <c r="D17" s="77" t="s">
        <v>53</v>
      </c>
      <c r="E17" s="77"/>
      <c r="F17" s="77"/>
      <c r="G17" s="77"/>
      <c r="H17" s="77"/>
      <c r="I17" s="4"/>
      <c r="J17" s="4"/>
      <c r="K17" s="4"/>
      <c r="L17" s="4"/>
    </row>
    <row r="18" spans="2:12" ht="23.25" customHeight="1" x14ac:dyDescent="0.25">
      <c r="B18" s="4"/>
      <c r="C18" s="4"/>
      <c r="D18" s="77" t="s">
        <v>54</v>
      </c>
      <c r="E18" s="77"/>
      <c r="F18" s="77"/>
      <c r="G18" s="77"/>
      <c r="H18" s="77"/>
      <c r="I18" s="4"/>
      <c r="J18" s="4"/>
      <c r="K18" s="4"/>
      <c r="L18" s="4"/>
    </row>
    <row r="19" spans="2:12" ht="23.25" customHeight="1" x14ac:dyDescent="0.25">
      <c r="B19" s="4"/>
      <c r="C19" s="4"/>
      <c r="D19" s="4"/>
      <c r="E19" s="4"/>
      <c r="F19" s="4"/>
      <c r="G19" s="4"/>
      <c r="H19" s="4"/>
      <c r="I19" s="4"/>
      <c r="J19" s="4"/>
      <c r="K19" s="4"/>
      <c r="L19" s="4"/>
    </row>
    <row r="20" spans="2:12" ht="23.25" customHeight="1" x14ac:dyDescent="0.25"/>
    <row r="21" spans="2:12" ht="19.5" customHeight="1" x14ac:dyDescent="0.25"/>
    <row r="22" spans="2:12" ht="19.5" customHeight="1" x14ac:dyDescent="0.25"/>
    <row r="23" spans="2:12" ht="19.5" customHeight="1" x14ac:dyDescent="0.25"/>
    <row r="24" spans="2:12" ht="19.5" customHeight="1" x14ac:dyDescent="0.25"/>
    <row r="25" spans="2:12" ht="19.5" customHeight="1" x14ac:dyDescent="0.25"/>
    <row r="26" spans="2:12" ht="19.5" customHeight="1" x14ac:dyDescent="0.25"/>
    <row r="27" spans="2:12" ht="19.5" customHeight="1" x14ac:dyDescent="0.25"/>
    <row r="28" spans="2:12" ht="19.5" customHeight="1" x14ac:dyDescent="0.25"/>
    <row r="29" spans="2:12" ht="19.5" customHeight="1" x14ac:dyDescent="0.25"/>
    <row r="30" spans="2:12" ht="19.5" customHeight="1" x14ac:dyDescent="0.25"/>
    <row r="31" spans="2:12" ht="19.5" customHeight="1" x14ac:dyDescent="0.25"/>
    <row r="32" spans="2:12" ht="19.5" customHeight="1" x14ac:dyDescent="0.25"/>
    <row r="33" ht="19.5" customHeight="1" x14ac:dyDescent="0.25"/>
  </sheetData>
  <sheetProtection password="CB78" sheet="1" objects="1" scenarios="1"/>
  <mergeCells count="26">
    <mergeCell ref="J8:L8"/>
    <mergeCell ref="J3:L3"/>
    <mergeCell ref="J4:L4"/>
    <mergeCell ref="J5:L5"/>
    <mergeCell ref="D2:H2"/>
    <mergeCell ref="J2:L2"/>
    <mergeCell ref="J7:L7"/>
    <mergeCell ref="J9:L9"/>
    <mergeCell ref="J10:L10"/>
    <mergeCell ref="J11:L11"/>
    <mergeCell ref="J12:L12"/>
    <mergeCell ref="D10:H10"/>
    <mergeCell ref="D11:H11"/>
    <mergeCell ref="D12:H12"/>
    <mergeCell ref="D15:H15"/>
    <mergeCell ref="D16:H16"/>
    <mergeCell ref="D17:H17"/>
    <mergeCell ref="D18:H18"/>
    <mergeCell ref="D3:H3"/>
    <mergeCell ref="D4:H4"/>
    <mergeCell ref="D5:H5"/>
    <mergeCell ref="D6:H6"/>
    <mergeCell ref="D7:H7"/>
    <mergeCell ref="D9:H9"/>
    <mergeCell ref="D13:H13"/>
    <mergeCell ref="D14:H1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A1:D16"/>
  <sheetViews>
    <sheetView workbookViewId="0">
      <selection activeCell="C14" sqref="C14"/>
    </sheetView>
  </sheetViews>
  <sheetFormatPr baseColWidth="10" defaultColWidth="11.5703125" defaultRowHeight="14.25" x14ac:dyDescent="0.2"/>
  <cols>
    <col min="1" max="1" width="11.5703125" style="32"/>
    <col min="2" max="2" width="16.7109375" style="32" customWidth="1"/>
    <col min="3" max="3" width="72.7109375" style="20" customWidth="1"/>
    <col min="4" max="4" width="14" style="32" customWidth="1"/>
    <col min="5" max="16384" width="11.5703125" style="32"/>
  </cols>
  <sheetData>
    <row r="1" spans="1:4" ht="16.5" thickTop="1" thickBot="1" x14ac:dyDescent="0.3">
      <c r="B1" s="33" t="s">
        <v>82</v>
      </c>
      <c r="C1" s="34" t="s">
        <v>62</v>
      </c>
      <c r="D1" s="33" t="s">
        <v>97</v>
      </c>
    </row>
    <row r="2" spans="1:4" ht="15.75" thickTop="1" thickBot="1" x14ac:dyDescent="0.25"/>
    <row r="3" spans="1:4" x14ac:dyDescent="0.2">
      <c r="A3" s="82" t="s">
        <v>63</v>
      </c>
      <c r="B3" s="35" t="s">
        <v>83</v>
      </c>
      <c r="C3" s="30" t="s">
        <v>77</v>
      </c>
      <c r="D3" s="38" t="s">
        <v>80</v>
      </c>
    </row>
    <row r="4" spans="1:4" x14ac:dyDescent="0.2">
      <c r="A4" s="83"/>
      <c r="B4" s="36" t="s">
        <v>86</v>
      </c>
      <c r="C4" s="28" t="s">
        <v>78</v>
      </c>
      <c r="D4" s="39" t="s">
        <v>81</v>
      </c>
    </row>
    <row r="5" spans="1:4" ht="15" thickBot="1" x14ac:dyDescent="0.25">
      <c r="A5" s="84"/>
      <c r="B5" s="37" t="s">
        <v>87</v>
      </c>
      <c r="C5" s="31" t="s">
        <v>79</v>
      </c>
      <c r="D5" s="40" t="s">
        <v>80</v>
      </c>
    </row>
    <row r="6" spans="1:4" x14ac:dyDescent="0.2">
      <c r="A6" s="85" t="s">
        <v>64</v>
      </c>
      <c r="B6" s="35" t="s">
        <v>84</v>
      </c>
      <c r="C6" s="30" t="s">
        <v>73</v>
      </c>
      <c r="D6" s="41" t="s">
        <v>80</v>
      </c>
    </row>
    <row r="7" spans="1:4" x14ac:dyDescent="0.2">
      <c r="A7" s="86"/>
      <c r="B7" s="36" t="s">
        <v>88</v>
      </c>
      <c r="C7" s="29" t="s">
        <v>74</v>
      </c>
      <c r="D7" s="42" t="s">
        <v>81</v>
      </c>
    </row>
    <row r="8" spans="1:4" ht="42.75" x14ac:dyDescent="0.2">
      <c r="A8" s="86"/>
      <c r="B8" s="36" t="s">
        <v>89</v>
      </c>
      <c r="C8" s="29" t="s">
        <v>75</v>
      </c>
      <c r="D8" s="42" t="s">
        <v>80</v>
      </c>
    </row>
    <row r="9" spans="1:4" ht="15" thickBot="1" x14ac:dyDescent="0.25">
      <c r="A9" s="87"/>
      <c r="B9" s="37" t="s">
        <v>90</v>
      </c>
      <c r="C9" s="31" t="s">
        <v>76</v>
      </c>
      <c r="D9" s="43" t="s">
        <v>81</v>
      </c>
    </row>
    <row r="10" spans="1:4" x14ac:dyDescent="0.2">
      <c r="A10" s="88" t="s">
        <v>65</v>
      </c>
      <c r="B10" s="35" t="s">
        <v>85</v>
      </c>
      <c r="C10" s="30" t="s">
        <v>67</v>
      </c>
      <c r="D10" s="44" t="s">
        <v>80</v>
      </c>
    </row>
    <row r="11" spans="1:4" x14ac:dyDescent="0.2">
      <c r="A11" s="89"/>
      <c r="B11" s="36" t="s">
        <v>91</v>
      </c>
      <c r="C11" s="28" t="s">
        <v>68</v>
      </c>
      <c r="D11" s="45" t="s">
        <v>80</v>
      </c>
    </row>
    <row r="12" spans="1:4" x14ac:dyDescent="0.2">
      <c r="A12" s="89"/>
      <c r="B12" s="36" t="s">
        <v>92</v>
      </c>
      <c r="C12" s="28" t="s">
        <v>69</v>
      </c>
      <c r="D12" s="45" t="s">
        <v>81</v>
      </c>
    </row>
    <row r="13" spans="1:4" x14ac:dyDescent="0.2">
      <c r="A13" s="89"/>
      <c r="B13" s="36" t="s">
        <v>93</v>
      </c>
      <c r="C13" s="28" t="s">
        <v>70</v>
      </c>
      <c r="D13" s="45" t="s">
        <v>80</v>
      </c>
    </row>
    <row r="14" spans="1:4" ht="28.5" x14ac:dyDescent="0.2">
      <c r="A14" s="89"/>
      <c r="B14" s="36" t="s">
        <v>94</v>
      </c>
      <c r="C14" s="28" t="s">
        <v>71</v>
      </c>
      <c r="D14" s="45" t="s">
        <v>80</v>
      </c>
    </row>
    <row r="15" spans="1:4" x14ac:dyDescent="0.2">
      <c r="A15" s="89"/>
      <c r="B15" s="36" t="s">
        <v>95</v>
      </c>
      <c r="C15" s="28" t="s">
        <v>72</v>
      </c>
      <c r="D15" s="45" t="s">
        <v>81</v>
      </c>
    </row>
    <row r="16" spans="1:4" ht="15" thickBot="1" x14ac:dyDescent="0.25">
      <c r="A16" s="90"/>
      <c r="B16" s="37" t="s">
        <v>96</v>
      </c>
      <c r="C16" s="31" t="s">
        <v>66</v>
      </c>
      <c r="D16" s="46" t="s">
        <v>81</v>
      </c>
    </row>
  </sheetData>
  <sheetProtection password="CB78" sheet="1" objects="1" scenarios="1"/>
  <mergeCells count="3">
    <mergeCell ref="A3:A5"/>
    <mergeCell ref="A6:A9"/>
    <mergeCell ref="A10:A1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'Tablas AR'!$A$18:$A$19</xm:f>
          </x14:formula1>
          <xm:sqref>D2:D16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3"/>
  </sheetPr>
  <dimension ref="A1:O32"/>
  <sheetViews>
    <sheetView workbookViewId="0">
      <pane xSplit="1" ySplit="1" topLeftCell="B2" activePane="bottomRight" state="frozen"/>
      <selection pane="topRight" activeCell="B1" sqref="B1"/>
      <selection pane="bottomLeft" activeCell="A2" sqref="A2"/>
      <selection pane="bottomRight" activeCell="O19" sqref="O19"/>
    </sheetView>
  </sheetViews>
  <sheetFormatPr baseColWidth="10" defaultRowHeight="15" x14ac:dyDescent="0.25"/>
  <cols>
    <col min="1" max="1" width="64.85546875" customWidth="1"/>
  </cols>
  <sheetData>
    <row r="1" spans="1:15" x14ac:dyDescent="0.25">
      <c r="A1" t="s">
        <v>102</v>
      </c>
      <c r="B1" t="s">
        <v>83</v>
      </c>
      <c r="C1" t="s">
        <v>86</v>
      </c>
      <c r="D1" t="s">
        <v>87</v>
      </c>
      <c r="E1" t="s">
        <v>84</v>
      </c>
      <c r="F1" t="s">
        <v>88</v>
      </c>
      <c r="G1" t="s">
        <v>89</v>
      </c>
      <c r="H1" t="s">
        <v>90</v>
      </c>
      <c r="I1" t="s">
        <v>85</v>
      </c>
      <c r="J1" t="s">
        <v>91</v>
      </c>
      <c r="K1" t="s">
        <v>92</v>
      </c>
      <c r="L1" t="s">
        <v>93</v>
      </c>
      <c r="M1" t="s">
        <v>94</v>
      </c>
      <c r="N1" t="s">
        <v>95</v>
      </c>
      <c r="O1" t="s">
        <v>96</v>
      </c>
    </row>
    <row r="2" spans="1:15" x14ac:dyDescent="0.25">
      <c r="A2" s="5" t="s">
        <v>29</v>
      </c>
      <c r="B2" s="25" t="s">
        <v>80</v>
      </c>
      <c r="C2" s="25"/>
      <c r="D2" s="25" t="s">
        <v>81</v>
      </c>
      <c r="E2" s="25"/>
      <c r="F2" s="25"/>
      <c r="G2" s="25" t="s">
        <v>81</v>
      </c>
      <c r="H2" s="25"/>
      <c r="I2" s="25" t="s">
        <v>80</v>
      </c>
      <c r="J2" s="25"/>
      <c r="K2" s="25"/>
      <c r="L2" s="25" t="s">
        <v>81</v>
      </c>
      <c r="M2" s="25" t="s">
        <v>80</v>
      </c>
      <c r="N2" s="25"/>
      <c r="O2" s="25"/>
    </row>
    <row r="3" spans="1:15" x14ac:dyDescent="0.25">
      <c r="A3" s="5" t="s">
        <v>30</v>
      </c>
      <c r="B3" s="25" t="s">
        <v>80</v>
      </c>
      <c r="C3" s="25"/>
      <c r="D3" s="25" t="s">
        <v>81</v>
      </c>
      <c r="E3" s="25"/>
      <c r="F3" s="25"/>
      <c r="G3" s="25" t="s">
        <v>81</v>
      </c>
      <c r="H3" s="25"/>
      <c r="I3" s="25" t="s">
        <v>80</v>
      </c>
      <c r="J3" s="25"/>
      <c r="K3" s="25"/>
      <c r="L3" s="25" t="s">
        <v>81</v>
      </c>
      <c r="M3" s="25" t="s">
        <v>80</v>
      </c>
      <c r="N3" s="25"/>
      <c r="O3" s="25"/>
    </row>
    <row r="4" spans="1:15" x14ac:dyDescent="0.25">
      <c r="A4" s="5" t="s">
        <v>31</v>
      </c>
      <c r="B4" s="25" t="s">
        <v>80</v>
      </c>
      <c r="C4" s="25"/>
      <c r="D4" s="25" t="s">
        <v>80</v>
      </c>
      <c r="E4" s="25"/>
      <c r="F4" s="25"/>
      <c r="G4" s="25" t="s">
        <v>81</v>
      </c>
      <c r="H4" s="25"/>
      <c r="I4" s="25" t="s">
        <v>80</v>
      </c>
      <c r="J4" s="25"/>
      <c r="K4" s="25"/>
      <c r="L4" s="25" t="s">
        <v>81</v>
      </c>
      <c r="M4" s="25" t="s">
        <v>80</v>
      </c>
      <c r="N4" s="25"/>
      <c r="O4" s="25"/>
    </row>
    <row r="5" spans="1:15" x14ac:dyDescent="0.25">
      <c r="A5" s="3" t="s">
        <v>40</v>
      </c>
      <c r="B5" s="25" t="s">
        <v>80</v>
      </c>
      <c r="C5" s="25"/>
      <c r="D5" s="25" t="s">
        <v>80</v>
      </c>
      <c r="E5" s="25"/>
      <c r="F5" s="25"/>
      <c r="G5" s="25" t="s">
        <v>80</v>
      </c>
      <c r="H5" s="25"/>
      <c r="I5" s="25" t="s">
        <v>80</v>
      </c>
      <c r="J5" s="25"/>
      <c r="K5" s="25"/>
      <c r="L5" s="25" t="s">
        <v>80</v>
      </c>
      <c r="M5" s="25" t="s">
        <v>81</v>
      </c>
      <c r="N5" s="25"/>
      <c r="O5" s="25"/>
    </row>
    <row r="6" spans="1:15" x14ac:dyDescent="0.25">
      <c r="A6" s="3" t="s">
        <v>41</v>
      </c>
      <c r="B6" s="25" t="s">
        <v>80</v>
      </c>
      <c r="C6" s="25"/>
      <c r="D6" s="25" t="s">
        <v>80</v>
      </c>
      <c r="E6" s="25"/>
      <c r="F6" s="25"/>
      <c r="G6" s="25" t="s">
        <v>80</v>
      </c>
      <c r="H6" s="25"/>
      <c r="I6" s="25" t="s">
        <v>80</v>
      </c>
      <c r="J6" s="25"/>
      <c r="K6" s="25"/>
      <c r="L6" s="25" t="s">
        <v>80</v>
      </c>
      <c r="M6" s="25" t="s">
        <v>80</v>
      </c>
      <c r="N6" s="25"/>
      <c r="O6" s="25"/>
    </row>
    <row r="7" spans="1:15" x14ac:dyDescent="0.25">
      <c r="A7" s="3" t="s">
        <v>42</v>
      </c>
      <c r="B7" s="25" t="s">
        <v>80</v>
      </c>
      <c r="C7" s="25"/>
      <c r="D7" s="25" t="s">
        <v>80</v>
      </c>
      <c r="E7" s="25"/>
      <c r="F7" s="25"/>
      <c r="G7" s="25" t="s">
        <v>80</v>
      </c>
      <c r="H7" s="25"/>
      <c r="I7" s="25" t="s">
        <v>80</v>
      </c>
      <c r="J7" s="25"/>
      <c r="K7" s="25"/>
      <c r="L7" s="25" t="s">
        <v>80</v>
      </c>
      <c r="M7" s="25" t="s">
        <v>80</v>
      </c>
      <c r="N7" s="25"/>
      <c r="O7" s="25"/>
    </row>
    <row r="8" spans="1:15" x14ac:dyDescent="0.25">
      <c r="A8" s="3" t="s">
        <v>43</v>
      </c>
      <c r="B8" s="25" t="s">
        <v>80</v>
      </c>
      <c r="C8" s="25"/>
      <c r="D8" s="25" t="s">
        <v>80</v>
      </c>
      <c r="E8" s="25"/>
      <c r="F8" s="25"/>
      <c r="G8" s="25" t="s">
        <v>80</v>
      </c>
      <c r="H8" s="25"/>
      <c r="I8" s="25" t="s">
        <v>80</v>
      </c>
      <c r="J8" s="25"/>
      <c r="K8" s="25"/>
      <c r="L8" s="25" t="s">
        <v>80</v>
      </c>
      <c r="M8" s="25" t="s">
        <v>80</v>
      </c>
      <c r="N8" s="25"/>
      <c r="O8" s="25"/>
    </row>
    <row r="9" spans="1:15" x14ac:dyDescent="0.25">
      <c r="A9" s="3" t="s">
        <v>44</v>
      </c>
      <c r="B9" s="25" t="s">
        <v>80</v>
      </c>
      <c r="C9" s="25"/>
      <c r="D9" s="25" t="s">
        <v>81</v>
      </c>
      <c r="E9" s="25"/>
      <c r="F9" s="25"/>
      <c r="G9" s="25" t="s">
        <v>80</v>
      </c>
      <c r="H9" s="25"/>
      <c r="I9" s="25" t="s">
        <v>80</v>
      </c>
      <c r="J9" s="25"/>
      <c r="K9" s="25"/>
      <c r="L9" s="25" t="s">
        <v>80</v>
      </c>
      <c r="M9" s="25" t="s">
        <v>81</v>
      </c>
      <c r="N9" s="25"/>
      <c r="O9" s="25"/>
    </row>
    <row r="10" spans="1:15" x14ac:dyDescent="0.25">
      <c r="A10" s="3" t="s">
        <v>45</v>
      </c>
      <c r="B10" s="25" t="s">
        <v>80</v>
      </c>
      <c r="C10" s="25"/>
      <c r="D10" s="25" t="s">
        <v>80</v>
      </c>
      <c r="E10" s="25"/>
      <c r="F10" s="25"/>
      <c r="G10" s="25" t="s">
        <v>80</v>
      </c>
      <c r="H10" s="25"/>
      <c r="I10" s="25" t="s">
        <v>80</v>
      </c>
      <c r="J10" s="25"/>
      <c r="K10" s="25"/>
      <c r="L10" s="25" t="s">
        <v>80</v>
      </c>
      <c r="M10" s="25" t="s">
        <v>81</v>
      </c>
      <c r="N10" s="25"/>
      <c r="O10" s="25"/>
    </row>
    <row r="11" spans="1:15" x14ac:dyDescent="0.25">
      <c r="A11" s="22" t="s">
        <v>32</v>
      </c>
      <c r="B11" s="25" t="s">
        <v>80</v>
      </c>
      <c r="C11" s="25"/>
      <c r="D11" s="25" t="s">
        <v>80</v>
      </c>
      <c r="E11" s="25"/>
      <c r="F11" s="25"/>
      <c r="G11" s="25" t="s">
        <v>81</v>
      </c>
      <c r="H11" s="25"/>
      <c r="I11" s="25" t="s">
        <v>80</v>
      </c>
      <c r="J11" s="25"/>
      <c r="K11" s="25"/>
      <c r="L11" s="25" t="s">
        <v>81</v>
      </c>
      <c r="M11" s="25" t="s">
        <v>80</v>
      </c>
      <c r="N11" s="25"/>
      <c r="O11" s="25"/>
    </row>
    <row r="12" spans="1:15" x14ac:dyDescent="0.25">
      <c r="A12" s="22" t="s">
        <v>33</v>
      </c>
      <c r="B12" s="25" t="s">
        <v>81</v>
      </c>
      <c r="C12" s="25"/>
      <c r="D12" s="25" t="s">
        <v>81</v>
      </c>
      <c r="E12" s="25"/>
      <c r="F12" s="25"/>
      <c r="G12" s="25" t="s">
        <v>81</v>
      </c>
      <c r="H12" s="25"/>
      <c r="I12" s="25" t="s">
        <v>81</v>
      </c>
      <c r="J12" s="25"/>
      <c r="K12" s="25"/>
      <c r="L12" s="25" t="s">
        <v>81</v>
      </c>
      <c r="M12" s="25" t="s">
        <v>81</v>
      </c>
      <c r="N12" s="25"/>
      <c r="O12" s="25"/>
    </row>
    <row r="13" spans="1:15" x14ac:dyDescent="0.25">
      <c r="A13" s="22" t="s">
        <v>34</v>
      </c>
      <c r="B13" s="25" t="s">
        <v>81</v>
      </c>
      <c r="C13" s="25"/>
      <c r="D13" s="25" t="s">
        <v>80</v>
      </c>
      <c r="E13" s="25"/>
      <c r="F13" s="25"/>
      <c r="G13" s="25" t="s">
        <v>81</v>
      </c>
      <c r="H13" s="25"/>
      <c r="I13" s="25" t="s">
        <v>80</v>
      </c>
      <c r="J13" s="25"/>
      <c r="K13" s="25"/>
      <c r="L13" s="25" t="s">
        <v>81</v>
      </c>
      <c r="M13" s="25" t="s">
        <v>80</v>
      </c>
      <c r="N13" s="25"/>
      <c r="O13" s="25"/>
    </row>
    <row r="14" spans="1:15" x14ac:dyDescent="0.25">
      <c r="A14" s="22" t="s">
        <v>35</v>
      </c>
      <c r="B14" s="25" t="s">
        <v>81</v>
      </c>
      <c r="C14" s="25"/>
      <c r="D14" s="25" t="s">
        <v>81</v>
      </c>
      <c r="E14" s="25"/>
      <c r="F14" s="25"/>
      <c r="G14" s="25" t="s">
        <v>81</v>
      </c>
      <c r="H14" s="25"/>
      <c r="I14" s="25" t="s">
        <v>81</v>
      </c>
      <c r="J14" s="25"/>
      <c r="K14" s="25"/>
      <c r="L14" s="25" t="s">
        <v>81</v>
      </c>
      <c r="M14" s="25" t="s">
        <v>81</v>
      </c>
      <c r="N14" s="25"/>
      <c r="O14" s="25"/>
    </row>
    <row r="15" spans="1:15" x14ac:dyDescent="0.25">
      <c r="A15" s="22" t="s">
        <v>36</v>
      </c>
      <c r="B15" s="25" t="s">
        <v>81</v>
      </c>
      <c r="C15" s="25"/>
      <c r="D15" s="25" t="s">
        <v>81</v>
      </c>
      <c r="E15" s="25"/>
      <c r="F15" s="25"/>
      <c r="G15" s="25" t="s">
        <v>81</v>
      </c>
      <c r="H15" s="25"/>
      <c r="I15" s="25" t="s">
        <v>81</v>
      </c>
      <c r="J15" s="25"/>
      <c r="K15" s="25"/>
      <c r="L15" s="25" t="s">
        <v>81</v>
      </c>
      <c r="M15" s="25" t="s">
        <v>81</v>
      </c>
      <c r="N15" s="25"/>
      <c r="O15" s="25"/>
    </row>
    <row r="16" spans="1:15" x14ac:dyDescent="0.25">
      <c r="A16" s="21" t="s">
        <v>46</v>
      </c>
      <c r="B16" s="25" t="s">
        <v>80</v>
      </c>
      <c r="C16" s="25"/>
      <c r="D16" s="25" t="s">
        <v>81</v>
      </c>
      <c r="E16" s="25"/>
      <c r="F16" s="25"/>
      <c r="G16" s="25" t="s">
        <v>80</v>
      </c>
      <c r="H16" s="25"/>
      <c r="I16" s="25" t="s">
        <v>80</v>
      </c>
      <c r="J16" s="25"/>
      <c r="K16" s="25"/>
      <c r="L16" s="25" t="s">
        <v>80</v>
      </c>
      <c r="M16" s="25" t="s">
        <v>80</v>
      </c>
      <c r="N16" s="25"/>
      <c r="O16" s="25"/>
    </row>
    <row r="17" spans="1:15" x14ac:dyDescent="0.25">
      <c r="A17" s="21" t="s">
        <v>47</v>
      </c>
      <c r="B17" s="25" t="s">
        <v>80</v>
      </c>
      <c r="C17" s="25"/>
      <c r="D17" s="25" t="s">
        <v>81</v>
      </c>
      <c r="E17" s="25"/>
      <c r="F17" s="25"/>
      <c r="G17" s="25" t="s">
        <v>80</v>
      </c>
      <c r="H17" s="25"/>
      <c r="I17" s="25" t="s">
        <v>80</v>
      </c>
      <c r="J17" s="25"/>
      <c r="K17" s="25"/>
      <c r="L17" s="25" t="s">
        <v>80</v>
      </c>
      <c r="M17" s="25" t="s">
        <v>81</v>
      </c>
      <c r="N17" s="25"/>
      <c r="O17" s="25"/>
    </row>
    <row r="18" spans="1:15" x14ac:dyDescent="0.25">
      <c r="A18" s="21" t="s">
        <v>48</v>
      </c>
      <c r="B18" s="25" t="s">
        <v>80</v>
      </c>
      <c r="C18" s="25"/>
      <c r="D18" s="25" t="s">
        <v>80</v>
      </c>
      <c r="E18" s="25"/>
      <c r="F18" s="25"/>
      <c r="G18" s="25" t="s">
        <v>80</v>
      </c>
      <c r="H18" s="25"/>
      <c r="I18" s="25" t="s">
        <v>80</v>
      </c>
      <c r="J18" s="25"/>
      <c r="K18" s="25"/>
      <c r="L18" s="25" t="s">
        <v>80</v>
      </c>
      <c r="M18" s="25" t="s">
        <v>80</v>
      </c>
      <c r="N18" s="25"/>
      <c r="O18" s="25"/>
    </row>
    <row r="19" spans="1:15" x14ac:dyDescent="0.25">
      <c r="A19" s="21" t="s">
        <v>49</v>
      </c>
      <c r="B19" s="25" t="s">
        <v>80</v>
      </c>
      <c r="C19" s="25"/>
      <c r="D19" s="25" t="s">
        <v>81</v>
      </c>
      <c r="E19" s="25"/>
      <c r="F19" s="25"/>
      <c r="G19" s="25" t="s">
        <v>80</v>
      </c>
      <c r="H19" s="25"/>
      <c r="I19" s="25" t="s">
        <v>80</v>
      </c>
      <c r="J19" s="25"/>
      <c r="K19" s="25"/>
      <c r="L19" s="25" t="s">
        <v>80</v>
      </c>
      <c r="M19" s="25" t="s">
        <v>80</v>
      </c>
      <c r="N19" s="25"/>
      <c r="O19" s="25"/>
    </row>
    <row r="20" spans="1:15" x14ac:dyDescent="0.25">
      <c r="A20" s="21" t="s">
        <v>50</v>
      </c>
      <c r="B20" s="25" t="s">
        <v>80</v>
      </c>
      <c r="C20" s="25"/>
      <c r="D20" s="25" t="s">
        <v>80</v>
      </c>
      <c r="E20" s="25"/>
      <c r="F20" s="25"/>
      <c r="G20" s="25" t="s">
        <v>80</v>
      </c>
      <c r="H20" s="25"/>
      <c r="I20" s="25" t="s">
        <v>80</v>
      </c>
      <c r="J20" s="25"/>
      <c r="K20" s="25"/>
      <c r="L20" s="25" t="s">
        <v>80</v>
      </c>
      <c r="M20" s="25" t="s">
        <v>80</v>
      </c>
      <c r="N20" s="25"/>
      <c r="O20" s="25"/>
    </row>
    <row r="21" spans="1:15" x14ac:dyDescent="0.25">
      <c r="A21" s="21" t="s">
        <v>51</v>
      </c>
      <c r="B21" s="25" t="s">
        <v>80</v>
      </c>
      <c r="C21" s="25"/>
      <c r="D21" s="25" t="s">
        <v>81</v>
      </c>
      <c r="E21" s="25"/>
      <c r="F21" s="25"/>
      <c r="G21" s="25" t="s">
        <v>80</v>
      </c>
      <c r="H21" s="25"/>
      <c r="I21" s="25" t="s">
        <v>80</v>
      </c>
      <c r="J21" s="25"/>
      <c r="K21" s="25"/>
      <c r="L21" s="25" t="s">
        <v>80</v>
      </c>
      <c r="M21" s="25" t="s">
        <v>80</v>
      </c>
      <c r="N21" s="25"/>
      <c r="O21" s="25"/>
    </row>
    <row r="22" spans="1:15" x14ac:dyDescent="0.25">
      <c r="A22" s="21" t="s">
        <v>52</v>
      </c>
      <c r="B22" s="25" t="s">
        <v>81</v>
      </c>
      <c r="C22" s="25"/>
      <c r="D22" s="25" t="s">
        <v>81</v>
      </c>
      <c r="E22" s="25"/>
      <c r="F22" s="25"/>
      <c r="G22" s="25" t="s">
        <v>80</v>
      </c>
      <c r="H22" s="25"/>
      <c r="I22" s="25" t="s">
        <v>81</v>
      </c>
      <c r="J22" s="25"/>
      <c r="K22" s="25"/>
      <c r="L22" s="25" t="s">
        <v>80</v>
      </c>
      <c r="M22" s="25" t="s">
        <v>81</v>
      </c>
      <c r="N22" s="25"/>
      <c r="O22" s="25"/>
    </row>
    <row r="23" spans="1:15" x14ac:dyDescent="0.25">
      <c r="A23" s="21" t="s">
        <v>53</v>
      </c>
      <c r="B23" s="25" t="s">
        <v>80</v>
      </c>
      <c r="C23" s="25"/>
      <c r="D23" s="25" t="s">
        <v>80</v>
      </c>
      <c r="E23" s="25"/>
      <c r="F23" s="25"/>
      <c r="G23" s="25" t="s">
        <v>80</v>
      </c>
      <c r="H23" s="25"/>
      <c r="I23" s="25" t="s">
        <v>80</v>
      </c>
      <c r="J23" s="25"/>
      <c r="K23" s="25"/>
      <c r="L23" s="25" t="s">
        <v>80</v>
      </c>
      <c r="M23" s="25" t="s">
        <v>80</v>
      </c>
      <c r="N23" s="25"/>
      <c r="O23" s="25"/>
    </row>
    <row r="24" spans="1:15" x14ac:dyDescent="0.25">
      <c r="A24" s="21" t="s">
        <v>54</v>
      </c>
      <c r="B24" s="25" t="s">
        <v>80</v>
      </c>
      <c r="C24" s="25"/>
      <c r="D24" s="25" t="s">
        <v>80</v>
      </c>
      <c r="E24" s="25"/>
      <c r="F24" s="25"/>
      <c r="G24" s="25" t="s">
        <v>80</v>
      </c>
      <c r="H24" s="25"/>
      <c r="I24" s="25" t="s">
        <v>80</v>
      </c>
      <c r="J24" s="25"/>
      <c r="K24" s="25"/>
      <c r="L24" s="25" t="s">
        <v>80</v>
      </c>
      <c r="M24" s="25" t="s">
        <v>80</v>
      </c>
      <c r="N24" s="25"/>
      <c r="O24" s="25"/>
    </row>
    <row r="25" spans="1:15" x14ac:dyDescent="0.25">
      <c r="A25" s="23" t="s">
        <v>37</v>
      </c>
      <c r="B25" s="25" t="s">
        <v>80</v>
      </c>
      <c r="C25" s="25"/>
      <c r="D25" s="25" t="s">
        <v>80</v>
      </c>
      <c r="E25" s="25"/>
      <c r="F25" s="25"/>
      <c r="G25" s="25" t="s">
        <v>80</v>
      </c>
      <c r="H25" s="25"/>
      <c r="I25" s="25" t="s">
        <v>80</v>
      </c>
      <c r="J25" s="25"/>
      <c r="K25" s="25"/>
      <c r="L25" s="25" t="s">
        <v>80</v>
      </c>
      <c r="M25" s="25" t="s">
        <v>80</v>
      </c>
      <c r="N25" s="25"/>
      <c r="O25" s="25"/>
    </row>
    <row r="26" spans="1:15" x14ac:dyDescent="0.25">
      <c r="A26" s="23" t="s">
        <v>38</v>
      </c>
      <c r="B26" s="25" t="s">
        <v>80</v>
      </c>
      <c r="C26" s="25"/>
      <c r="D26" s="25" t="s">
        <v>80</v>
      </c>
      <c r="E26" s="25"/>
      <c r="F26" s="25"/>
      <c r="G26" s="25" t="s">
        <v>80</v>
      </c>
      <c r="H26" s="25"/>
      <c r="I26" s="25" t="s">
        <v>80</v>
      </c>
      <c r="J26" s="25"/>
      <c r="K26" s="25"/>
      <c r="L26" s="25" t="s">
        <v>80</v>
      </c>
      <c r="M26" s="25" t="s">
        <v>80</v>
      </c>
      <c r="N26" s="25"/>
      <c r="O26" s="25"/>
    </row>
    <row r="27" spans="1:15" x14ac:dyDescent="0.25">
      <c r="A27" s="23" t="s">
        <v>39</v>
      </c>
      <c r="B27" s="25" t="s">
        <v>80</v>
      </c>
      <c r="C27" s="25"/>
      <c r="D27" s="25" t="s">
        <v>80</v>
      </c>
      <c r="E27" s="25"/>
      <c r="F27" s="25"/>
      <c r="G27" s="25" t="s">
        <v>80</v>
      </c>
      <c r="H27" s="25"/>
      <c r="I27" s="25" t="s">
        <v>80</v>
      </c>
      <c r="J27" s="25"/>
      <c r="K27" s="25"/>
      <c r="L27" s="25" t="s">
        <v>80</v>
      </c>
      <c r="M27" s="25" t="s">
        <v>80</v>
      </c>
      <c r="N27" s="25"/>
      <c r="O27" s="25"/>
    </row>
    <row r="28" spans="1:15" x14ac:dyDescent="0.25">
      <c r="A28" s="24" t="s">
        <v>55</v>
      </c>
      <c r="B28" s="25" t="s">
        <v>81</v>
      </c>
      <c r="C28" s="25"/>
      <c r="D28" s="25" t="s">
        <v>80</v>
      </c>
      <c r="E28" s="25"/>
      <c r="F28" s="25"/>
      <c r="G28" s="25" t="s">
        <v>80</v>
      </c>
      <c r="H28" s="25"/>
      <c r="I28" s="25" t="s">
        <v>80</v>
      </c>
      <c r="J28" s="25"/>
      <c r="K28" s="25"/>
      <c r="L28" s="25" t="s">
        <v>80</v>
      </c>
      <c r="M28" s="25" t="s">
        <v>80</v>
      </c>
      <c r="N28" s="25"/>
      <c r="O28" s="25"/>
    </row>
    <row r="29" spans="1:15" x14ac:dyDescent="0.25">
      <c r="A29" s="24" t="s">
        <v>56</v>
      </c>
      <c r="B29" s="25" t="s">
        <v>80</v>
      </c>
      <c r="C29" s="25"/>
      <c r="D29" s="25" t="s">
        <v>81</v>
      </c>
      <c r="E29" s="25"/>
      <c r="F29" s="25"/>
      <c r="G29" s="25" t="s">
        <v>81</v>
      </c>
      <c r="H29" s="25"/>
      <c r="I29" s="25" t="s">
        <v>80</v>
      </c>
      <c r="J29" s="25"/>
      <c r="K29" s="25"/>
      <c r="L29" s="25" t="s">
        <v>81</v>
      </c>
      <c r="M29" s="25" t="s">
        <v>81</v>
      </c>
      <c r="N29" s="25"/>
      <c r="O29" s="25"/>
    </row>
    <row r="30" spans="1:15" x14ac:dyDescent="0.25">
      <c r="A30" s="24" t="s">
        <v>52</v>
      </c>
      <c r="B30" s="25" t="s">
        <v>81</v>
      </c>
      <c r="C30" s="25"/>
      <c r="D30" s="25" t="s">
        <v>81</v>
      </c>
      <c r="E30" s="25"/>
      <c r="F30" s="25"/>
      <c r="G30" s="25" t="s">
        <v>80</v>
      </c>
      <c r="H30" s="25"/>
      <c r="I30" s="25" t="s">
        <v>81</v>
      </c>
      <c r="J30" s="25"/>
      <c r="K30" s="25"/>
      <c r="L30" s="25" t="s">
        <v>80</v>
      </c>
      <c r="M30" s="25" t="s">
        <v>81</v>
      </c>
      <c r="N30" s="25"/>
      <c r="O30" s="25"/>
    </row>
    <row r="31" spans="1:15" x14ac:dyDescent="0.25">
      <c r="A31" s="24" t="s">
        <v>57</v>
      </c>
      <c r="B31" s="25" t="s">
        <v>81</v>
      </c>
      <c r="C31" s="25"/>
      <c r="D31" s="25" t="s">
        <v>81</v>
      </c>
      <c r="E31" s="25"/>
      <c r="F31" s="25"/>
      <c r="G31" s="25" t="s">
        <v>81</v>
      </c>
      <c r="H31" s="25"/>
      <c r="I31" s="25" t="s">
        <v>81</v>
      </c>
      <c r="J31" s="25"/>
      <c r="K31" s="25"/>
      <c r="L31" s="25" t="s">
        <v>81</v>
      </c>
      <c r="M31" s="25" t="s">
        <v>81</v>
      </c>
      <c r="N31" s="25"/>
      <c r="O31" s="25"/>
    </row>
    <row r="32" spans="1:15" x14ac:dyDescent="0.25">
      <c r="A32" s="24" t="s">
        <v>58</v>
      </c>
      <c r="B32" s="25" t="s">
        <v>81</v>
      </c>
      <c r="C32" s="25"/>
      <c r="D32" s="25" t="s">
        <v>80</v>
      </c>
      <c r="E32" s="25"/>
      <c r="F32" s="25"/>
      <c r="G32" s="25" t="s">
        <v>80</v>
      </c>
      <c r="H32" s="25"/>
      <c r="I32" s="25" t="s">
        <v>81</v>
      </c>
      <c r="J32" s="25"/>
      <c r="K32" s="25"/>
      <c r="L32" s="25" t="s">
        <v>80</v>
      </c>
      <c r="M32" s="25" t="s">
        <v>81</v>
      </c>
      <c r="N32" s="25"/>
      <c r="O32" s="25"/>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theme="6" tint="-0.499984740745262"/>
  </sheetPr>
  <dimension ref="B1:I1402"/>
  <sheetViews>
    <sheetView tabSelected="1" topLeftCell="B106" workbookViewId="0">
      <selection activeCell="E127" sqref="E127"/>
    </sheetView>
  </sheetViews>
  <sheetFormatPr baseColWidth="10" defaultRowHeight="15" x14ac:dyDescent="0.25"/>
  <cols>
    <col min="1" max="1" width="21.42578125" customWidth="1"/>
    <col min="2" max="2" width="38.7109375" customWidth="1"/>
    <col min="3" max="3" width="38.85546875" hidden="1" customWidth="1"/>
    <col min="4" max="4" width="35.7109375" customWidth="1"/>
    <col min="5" max="5" width="18.140625" customWidth="1"/>
    <col min="6" max="6" width="18.140625" hidden="1" customWidth="1"/>
    <col min="7" max="7" width="17" customWidth="1"/>
    <col min="8" max="8" width="17.7109375" hidden="1" customWidth="1"/>
    <col min="9" max="9" width="16.28515625" customWidth="1"/>
  </cols>
  <sheetData>
    <row r="1" spans="2:9" ht="18" x14ac:dyDescent="0.25">
      <c r="B1" s="91" t="s">
        <v>0</v>
      </c>
      <c r="C1" s="92"/>
      <c r="D1" s="92"/>
      <c r="E1" s="92"/>
      <c r="F1" s="92"/>
      <c r="G1" s="92"/>
      <c r="H1" s="92"/>
      <c r="I1" s="92"/>
    </row>
    <row r="2" spans="2:9" ht="15.75" x14ac:dyDescent="0.25">
      <c r="B2" s="8" t="s">
        <v>62</v>
      </c>
      <c r="C2" s="8"/>
      <c r="D2" s="8" t="s">
        <v>98</v>
      </c>
      <c r="E2" s="8" t="s">
        <v>99</v>
      </c>
      <c r="F2" s="8"/>
      <c r="G2" s="8" t="s">
        <v>100</v>
      </c>
      <c r="H2" s="8"/>
      <c r="I2" s="8" t="s">
        <v>101</v>
      </c>
    </row>
    <row r="3" spans="2:9" x14ac:dyDescent="0.25">
      <c r="B3" s="27" t="str">
        <f>IFERROR(INDEX(Activos!$B$3:$C$16, MATCH(C3,Activos!$B$3:$B$16),2),"")</f>
        <v>ordenador(es)</v>
      </c>
      <c r="C3" s="27" t="s">
        <v>83</v>
      </c>
      <c r="D3" s="27" t="s">
        <v>29</v>
      </c>
      <c r="E3" s="25" t="s">
        <v>25</v>
      </c>
      <c r="F3" s="26">
        <f>IF(E3='Tablas AR'!$B$4,1,IF('Análisis de Riesgos'!E3='Tablas AR'!$B$5,2,IF('Análisis de Riesgos'!E3='Tablas AR'!$B$6,3,"")))</f>
        <v>1</v>
      </c>
      <c r="G3" s="25" t="s">
        <v>27</v>
      </c>
      <c r="H3" s="26">
        <f>IF(G3='Tablas AR'!$B$10,1,IF('Análisis de Riesgos'!G3='Tablas AR'!$B$11,2,IF('Análisis de Riesgos'!G3='Tablas AR'!$B$12,3,"")))</f>
        <v>3</v>
      </c>
      <c r="I3" s="26">
        <f xml:space="preserve"> IFERROR(F3*H3,"")</f>
        <v>3</v>
      </c>
    </row>
    <row r="4" spans="2:9" x14ac:dyDescent="0.25">
      <c r="B4" s="27" t="str">
        <f>IFERROR(INDEX(Activos!$B$3:$C$16, MATCH(C4,Activos!$B$3:$B$16),2),"")</f>
        <v>ordenador(es)</v>
      </c>
      <c r="C4" s="27" t="s">
        <v>83</v>
      </c>
      <c r="D4" s="27" t="s">
        <v>30</v>
      </c>
      <c r="E4" s="25" t="s">
        <v>25</v>
      </c>
      <c r="F4" s="26">
        <f>IF(E4='Tablas AR'!$B$4,1,IF('Análisis de Riesgos'!E4='Tablas AR'!$B$5,2,IF('Análisis de Riesgos'!E4='Tablas AR'!$B$6,3,"")))</f>
        <v>1</v>
      </c>
      <c r="G4" s="25" t="s">
        <v>27</v>
      </c>
      <c r="H4" s="26">
        <f>IF(G4='Tablas AR'!$B$10,1,IF('Análisis de Riesgos'!G4='Tablas AR'!$B$11,2,IF('Análisis de Riesgos'!G4='Tablas AR'!$B$12,3,"")))</f>
        <v>3</v>
      </c>
      <c r="I4" s="26">
        <f t="shared" ref="I4:I67" si="0" xml:space="preserve"> IFERROR(F4*H4,"")</f>
        <v>3</v>
      </c>
    </row>
    <row r="5" spans="2:9" x14ac:dyDescent="0.25">
      <c r="B5" s="27" t="str">
        <f>IFERROR(INDEX(Activos!$B$3:$C$16, MATCH(C5,Activos!$B$3:$B$16),2),"")</f>
        <v>ordenador(es)</v>
      </c>
      <c r="C5" s="27" t="s">
        <v>83</v>
      </c>
      <c r="D5" s="27" t="s">
        <v>31</v>
      </c>
      <c r="E5" s="25" t="s">
        <v>25</v>
      </c>
      <c r="F5" s="26">
        <f>IF(E5='Tablas AR'!$B$4,1,IF('Análisis de Riesgos'!E5='Tablas AR'!$B$5,2,IF('Análisis de Riesgos'!E5='Tablas AR'!$B$6,3,"")))</f>
        <v>1</v>
      </c>
      <c r="G5" s="25" t="s">
        <v>26</v>
      </c>
      <c r="H5" s="26">
        <f>IF(G5='Tablas AR'!$B$10,1,IF('Análisis de Riesgos'!G5='Tablas AR'!$B$11,2,IF('Análisis de Riesgos'!G5='Tablas AR'!$B$12,3,"")))</f>
        <v>2</v>
      </c>
      <c r="I5" s="26">
        <f t="shared" si="0"/>
        <v>2</v>
      </c>
    </row>
    <row r="6" spans="2:9" x14ac:dyDescent="0.25">
      <c r="B6" s="27" t="str">
        <f>IFERROR(INDEX(Activos!$B$3:$C$16, MATCH(C6,Activos!$B$3:$B$16),2),"")</f>
        <v>ordenador(es)</v>
      </c>
      <c r="C6" s="27" t="s">
        <v>83</v>
      </c>
      <c r="D6" s="27" t="s">
        <v>40</v>
      </c>
      <c r="E6" s="25" t="s">
        <v>26</v>
      </c>
      <c r="F6" s="26">
        <f>IF(E6='Tablas AR'!$B$4,1,IF('Análisis de Riesgos'!E6='Tablas AR'!$B$5,2,IF('Análisis de Riesgos'!E6='Tablas AR'!$B$6,3,"")))</f>
        <v>2</v>
      </c>
      <c r="G6" s="25" t="s">
        <v>26</v>
      </c>
      <c r="H6" s="26">
        <f>IF(G6='Tablas AR'!$B$10,1,IF('Análisis de Riesgos'!G6='Tablas AR'!$B$11,2,IF('Análisis de Riesgos'!G6='Tablas AR'!$B$12,3,"")))</f>
        <v>2</v>
      </c>
      <c r="I6" s="26">
        <f t="shared" si="0"/>
        <v>4</v>
      </c>
    </row>
    <row r="7" spans="2:9" x14ac:dyDescent="0.25">
      <c r="B7" s="27" t="str">
        <f>IFERROR(INDEX(Activos!$B$3:$C$16, MATCH(C7,Activos!$B$3:$B$16),2),"")</f>
        <v>ordenador(es)</v>
      </c>
      <c r="C7" s="27" t="s">
        <v>83</v>
      </c>
      <c r="D7" s="27" t="s">
        <v>41</v>
      </c>
      <c r="E7" s="25" t="s">
        <v>25</v>
      </c>
      <c r="F7" s="26">
        <f>IF(E7='Tablas AR'!$B$4,1,IF('Análisis de Riesgos'!E7='Tablas AR'!$B$5,2,IF('Análisis de Riesgos'!E7='Tablas AR'!$B$6,3,"")))</f>
        <v>1</v>
      </c>
      <c r="G7" s="25" t="s">
        <v>26</v>
      </c>
      <c r="H7" s="26">
        <f>IF(G7='Tablas AR'!$B$10,1,IF('Análisis de Riesgos'!G7='Tablas AR'!$B$11,2,IF('Análisis de Riesgos'!G7='Tablas AR'!$B$12,3,"")))</f>
        <v>2</v>
      </c>
      <c r="I7" s="26">
        <f t="shared" si="0"/>
        <v>2</v>
      </c>
    </row>
    <row r="8" spans="2:9" x14ac:dyDescent="0.25">
      <c r="B8" s="27" t="str">
        <f>IFERROR(INDEX(Activos!$B$3:$C$16, MATCH(C8,Activos!$B$3:$B$16),2),"")</f>
        <v>ordenador(es)</v>
      </c>
      <c r="C8" s="27" t="s">
        <v>83</v>
      </c>
      <c r="D8" s="27" t="s">
        <v>42</v>
      </c>
      <c r="E8" s="25" t="s">
        <v>25</v>
      </c>
      <c r="F8" s="26">
        <f>IF(E8='Tablas AR'!$B$4,1,IF('Análisis de Riesgos'!E8='Tablas AR'!$B$5,2,IF('Análisis de Riesgos'!E8='Tablas AR'!$B$6,3,"")))</f>
        <v>1</v>
      </c>
      <c r="G8" s="25" t="s">
        <v>26</v>
      </c>
      <c r="H8" s="26">
        <f>IF(G8='Tablas AR'!$B$10,1,IF('Análisis de Riesgos'!G8='Tablas AR'!$B$11,2,IF('Análisis de Riesgos'!G8='Tablas AR'!$B$12,3,"")))</f>
        <v>2</v>
      </c>
      <c r="I8" s="26">
        <f t="shared" si="0"/>
        <v>2</v>
      </c>
    </row>
    <row r="9" spans="2:9" x14ac:dyDescent="0.25">
      <c r="B9" s="27" t="str">
        <f>IFERROR(INDEX(Activos!$B$3:$C$16, MATCH(C9,Activos!$B$3:$B$16),2),"")</f>
        <v>ordenador(es)</v>
      </c>
      <c r="C9" s="27" t="s">
        <v>83</v>
      </c>
      <c r="D9" s="27" t="s">
        <v>43</v>
      </c>
      <c r="E9" s="25" t="s">
        <v>25</v>
      </c>
      <c r="F9" s="26">
        <f>IF(E9='Tablas AR'!$B$4,1,IF('Análisis de Riesgos'!E9='Tablas AR'!$B$5,2,IF('Análisis de Riesgos'!E9='Tablas AR'!$B$6,3,"")))</f>
        <v>1</v>
      </c>
      <c r="G9" s="25" t="s">
        <v>27</v>
      </c>
      <c r="H9" s="26">
        <f>IF(G9='Tablas AR'!$B$10,1,IF('Análisis de Riesgos'!G9='Tablas AR'!$B$11,2,IF('Análisis de Riesgos'!G9='Tablas AR'!$B$12,3,"")))</f>
        <v>3</v>
      </c>
      <c r="I9" s="26">
        <f t="shared" si="0"/>
        <v>3</v>
      </c>
    </row>
    <row r="10" spans="2:9" x14ac:dyDescent="0.25">
      <c r="B10" s="27" t="str">
        <f>IFERROR(INDEX(Activos!$B$3:$C$16, MATCH(C10,Activos!$B$3:$B$16),2),"")</f>
        <v>ordenador(es)</v>
      </c>
      <c r="C10" s="27" t="s">
        <v>83</v>
      </c>
      <c r="D10" s="27" t="s">
        <v>44</v>
      </c>
      <c r="E10" s="25" t="s">
        <v>26</v>
      </c>
      <c r="F10" s="26">
        <f>IF(E10='Tablas AR'!$B$4,1,IF('Análisis de Riesgos'!E10='Tablas AR'!$B$5,2,IF('Análisis de Riesgos'!E10='Tablas AR'!$B$6,3,"")))</f>
        <v>2</v>
      </c>
      <c r="G10" s="25" t="s">
        <v>27</v>
      </c>
      <c r="H10" s="26">
        <f>IF(G10='Tablas AR'!$B$10,1,IF('Análisis de Riesgos'!G10='Tablas AR'!$B$11,2,IF('Análisis de Riesgos'!G10='Tablas AR'!$B$12,3,"")))</f>
        <v>3</v>
      </c>
      <c r="I10" s="26">
        <f t="shared" si="0"/>
        <v>6</v>
      </c>
    </row>
    <row r="11" spans="2:9" ht="30" x14ac:dyDescent="0.25">
      <c r="B11" s="27" t="str">
        <f>IFERROR(INDEX(Activos!$B$3:$C$16, MATCH(C11,Activos!$B$3:$B$16),2),"")</f>
        <v>ordenador(es)</v>
      </c>
      <c r="C11" s="27" t="s">
        <v>83</v>
      </c>
      <c r="D11" s="27" t="s">
        <v>45</v>
      </c>
      <c r="E11" s="25" t="s">
        <v>25</v>
      </c>
      <c r="F11" s="26">
        <f>IF(E11='Tablas AR'!$B$4,1,IF('Análisis de Riesgos'!E11='Tablas AR'!$B$5,2,IF('Análisis de Riesgos'!E11='Tablas AR'!$B$6,3,"")))</f>
        <v>1</v>
      </c>
      <c r="G11" s="25" t="s">
        <v>26</v>
      </c>
      <c r="H11" s="26">
        <f>IF(G11='Tablas AR'!$B$10,1,IF('Análisis de Riesgos'!G11='Tablas AR'!$B$11,2,IF('Análisis de Riesgos'!G11='Tablas AR'!$B$12,3,"")))</f>
        <v>2</v>
      </c>
      <c r="I11" s="26">
        <f t="shared" si="0"/>
        <v>2</v>
      </c>
    </row>
    <row r="12" spans="2:9" x14ac:dyDescent="0.25">
      <c r="B12" s="27" t="str">
        <f>IFERROR(INDEX(Activos!$B$3:$C$16, MATCH(C12,Activos!$B$3:$B$16),2),"")</f>
        <v>ordenador(es)</v>
      </c>
      <c r="C12" s="27" t="s">
        <v>83</v>
      </c>
      <c r="D12" s="27" t="s">
        <v>32</v>
      </c>
      <c r="E12" s="25" t="s">
        <v>25</v>
      </c>
      <c r="F12" s="26">
        <f>IF(E12='Tablas AR'!$B$4,1,IF('Análisis de Riesgos'!E12='Tablas AR'!$B$5,2,IF('Análisis de Riesgos'!E12='Tablas AR'!$B$6,3,"")))</f>
        <v>1</v>
      </c>
      <c r="G12" s="25" t="s">
        <v>26</v>
      </c>
      <c r="H12" s="26">
        <f>IF(G12='Tablas AR'!$B$10,1,IF('Análisis de Riesgos'!G12='Tablas AR'!$B$11,2,IF('Análisis de Riesgos'!G12='Tablas AR'!$B$12,3,"")))</f>
        <v>2</v>
      </c>
      <c r="I12" s="26">
        <f t="shared" si="0"/>
        <v>2</v>
      </c>
    </row>
    <row r="13" spans="2:9" ht="30" x14ac:dyDescent="0.25">
      <c r="B13" s="27" t="str">
        <f>IFERROR(INDEX(Activos!$B$3:$C$16, MATCH(C13,Activos!$B$3:$B$16),2),"")</f>
        <v>ordenador(es)</v>
      </c>
      <c r="C13" s="27" t="s">
        <v>83</v>
      </c>
      <c r="D13" s="27" t="s">
        <v>46</v>
      </c>
      <c r="E13" s="25" t="s">
        <v>25</v>
      </c>
      <c r="F13" s="26">
        <f>IF(E13='Tablas AR'!$B$4,1,IF('Análisis de Riesgos'!E13='Tablas AR'!$B$5,2,IF('Análisis de Riesgos'!E13='Tablas AR'!$B$6,3,"")))</f>
        <v>1</v>
      </c>
      <c r="G13" s="25" t="s">
        <v>27</v>
      </c>
      <c r="H13" s="26">
        <f>IF(G13='Tablas AR'!$B$10,1,IF('Análisis de Riesgos'!G13='Tablas AR'!$B$11,2,IF('Análisis de Riesgos'!G13='Tablas AR'!$B$12,3,"")))</f>
        <v>3</v>
      </c>
      <c r="I13" s="26">
        <f t="shared" si="0"/>
        <v>3</v>
      </c>
    </row>
    <row r="14" spans="2:9" x14ac:dyDescent="0.25">
      <c r="B14" s="27" t="str">
        <f>IFERROR(INDEX(Activos!$B$3:$C$16, MATCH(C14,Activos!$B$3:$B$16),2),"")</f>
        <v>ordenador(es)</v>
      </c>
      <c r="C14" s="27" t="s">
        <v>83</v>
      </c>
      <c r="D14" s="27" t="s">
        <v>47</v>
      </c>
      <c r="E14" s="25" t="s">
        <v>25</v>
      </c>
      <c r="F14" s="26">
        <f>IF(E14='Tablas AR'!$B$4,1,IF('Análisis de Riesgos'!E14='Tablas AR'!$B$5,2,IF('Análisis de Riesgos'!E14='Tablas AR'!$B$6,3,"")))</f>
        <v>1</v>
      </c>
      <c r="G14" s="25" t="s">
        <v>26</v>
      </c>
      <c r="H14" s="26">
        <f>IF(G14='Tablas AR'!$B$10,1,IF('Análisis de Riesgos'!G14='Tablas AR'!$B$11,2,IF('Análisis de Riesgos'!G14='Tablas AR'!$B$12,3,"")))</f>
        <v>2</v>
      </c>
      <c r="I14" s="26">
        <f t="shared" si="0"/>
        <v>2</v>
      </c>
    </row>
    <row r="15" spans="2:9" ht="30" x14ac:dyDescent="0.25">
      <c r="B15" s="27" t="str">
        <f>IFERROR(INDEX(Activos!$B$3:$C$16, MATCH(C15,Activos!$B$3:$B$16),2),"")</f>
        <v>ordenador(es)</v>
      </c>
      <c r="C15" s="27" t="s">
        <v>83</v>
      </c>
      <c r="D15" s="27" t="s">
        <v>48</v>
      </c>
      <c r="E15" s="25" t="s">
        <v>26</v>
      </c>
      <c r="F15" s="26">
        <f>IF(E15='Tablas AR'!$B$4,1,IF('Análisis de Riesgos'!E15='Tablas AR'!$B$5,2,IF('Análisis de Riesgos'!E15='Tablas AR'!$B$6,3,"")))</f>
        <v>2</v>
      </c>
      <c r="G15" s="25" t="s">
        <v>26</v>
      </c>
      <c r="H15" s="26">
        <f>IF(G15='Tablas AR'!$B$10,1,IF('Análisis de Riesgos'!G15='Tablas AR'!$B$11,2,IF('Análisis de Riesgos'!G15='Tablas AR'!$B$12,3,"")))</f>
        <v>2</v>
      </c>
      <c r="I15" s="26">
        <f t="shared" si="0"/>
        <v>4</v>
      </c>
    </row>
    <row r="16" spans="2:9" ht="30" x14ac:dyDescent="0.25">
      <c r="B16" s="27" t="str">
        <f>IFERROR(INDEX(Activos!$B$3:$C$16, MATCH(C16,Activos!$B$3:$B$16),2),"")</f>
        <v>ordenador(es)</v>
      </c>
      <c r="C16" s="27" t="s">
        <v>83</v>
      </c>
      <c r="D16" s="27" t="s">
        <v>49</v>
      </c>
      <c r="E16" s="25" t="s">
        <v>25</v>
      </c>
      <c r="F16" s="26">
        <f>IF(E16='Tablas AR'!$B$4,1,IF('Análisis de Riesgos'!E16='Tablas AR'!$B$5,2,IF('Análisis de Riesgos'!E16='Tablas AR'!$B$6,3,"")))</f>
        <v>1</v>
      </c>
      <c r="G16" s="25" t="s">
        <v>26</v>
      </c>
      <c r="H16" s="26">
        <f>IF(G16='Tablas AR'!$B$10,1,IF('Análisis de Riesgos'!G16='Tablas AR'!$B$11,2,IF('Análisis de Riesgos'!G16='Tablas AR'!$B$12,3,"")))</f>
        <v>2</v>
      </c>
      <c r="I16" s="26">
        <f t="shared" si="0"/>
        <v>2</v>
      </c>
    </row>
    <row r="17" spans="2:9" x14ac:dyDescent="0.25">
      <c r="B17" s="27" t="str">
        <f>IFERROR(INDEX(Activos!$B$3:$C$16, MATCH(C17,Activos!$B$3:$B$16),2),"")</f>
        <v>ordenador(es)</v>
      </c>
      <c r="C17" s="27" t="s">
        <v>83</v>
      </c>
      <c r="D17" s="27" t="s">
        <v>50</v>
      </c>
      <c r="E17" s="25" t="s">
        <v>26</v>
      </c>
      <c r="F17" s="26">
        <f>IF(E17='Tablas AR'!$B$4,1,IF('Análisis de Riesgos'!E17='Tablas AR'!$B$5,2,IF('Análisis de Riesgos'!E17='Tablas AR'!$B$6,3,"")))</f>
        <v>2</v>
      </c>
      <c r="G17" s="25" t="s">
        <v>26</v>
      </c>
      <c r="H17" s="26">
        <f>IF(G17='Tablas AR'!$B$10,1,IF('Análisis de Riesgos'!G17='Tablas AR'!$B$11,2,IF('Análisis de Riesgos'!G17='Tablas AR'!$B$12,3,"")))</f>
        <v>2</v>
      </c>
      <c r="I17" s="26">
        <f t="shared" si="0"/>
        <v>4</v>
      </c>
    </row>
    <row r="18" spans="2:9" x14ac:dyDescent="0.25">
      <c r="B18" s="27" t="str">
        <f>IFERROR(INDEX(Activos!$B$3:$C$16, MATCH(C18,Activos!$B$3:$B$16),2),"")</f>
        <v>ordenador(es)</v>
      </c>
      <c r="C18" s="27" t="s">
        <v>83</v>
      </c>
      <c r="D18" s="27" t="s">
        <v>51</v>
      </c>
      <c r="E18" s="25" t="s">
        <v>25</v>
      </c>
      <c r="F18" s="26">
        <f>IF(E18='Tablas AR'!$B$4,1,IF('Análisis de Riesgos'!E18='Tablas AR'!$B$5,2,IF('Análisis de Riesgos'!E18='Tablas AR'!$B$6,3,"")))</f>
        <v>1</v>
      </c>
      <c r="G18" s="25" t="s">
        <v>26</v>
      </c>
      <c r="H18" s="26">
        <f>IF(G18='Tablas AR'!$B$10,1,IF('Análisis de Riesgos'!G18='Tablas AR'!$B$11,2,IF('Análisis de Riesgos'!G18='Tablas AR'!$B$12,3,"")))</f>
        <v>2</v>
      </c>
      <c r="I18" s="26">
        <f t="shared" si="0"/>
        <v>2</v>
      </c>
    </row>
    <row r="19" spans="2:9" x14ac:dyDescent="0.25">
      <c r="B19" s="27" t="str">
        <f>IFERROR(INDEX(Activos!$B$3:$C$16, MATCH(C19,Activos!$B$3:$B$16),2),"")</f>
        <v>ordenador(es)</v>
      </c>
      <c r="C19" s="27" t="s">
        <v>83</v>
      </c>
      <c r="D19" s="27" t="s">
        <v>53</v>
      </c>
      <c r="E19" s="25" t="s">
        <v>25</v>
      </c>
      <c r="F19" s="26">
        <f>IF(E19='Tablas AR'!$B$4,1,IF('Análisis de Riesgos'!E19='Tablas AR'!$B$5,2,IF('Análisis de Riesgos'!E19='Tablas AR'!$B$6,3,"")))</f>
        <v>1</v>
      </c>
      <c r="G19" s="25" t="s">
        <v>27</v>
      </c>
      <c r="H19" s="26">
        <f>IF(G19='Tablas AR'!$B$10,1,IF('Análisis de Riesgos'!G19='Tablas AR'!$B$11,2,IF('Análisis de Riesgos'!G19='Tablas AR'!$B$12,3,"")))</f>
        <v>3</v>
      </c>
      <c r="I19" s="26">
        <f t="shared" si="0"/>
        <v>3</v>
      </c>
    </row>
    <row r="20" spans="2:9" x14ac:dyDescent="0.25">
      <c r="B20" s="27" t="str">
        <f>IFERROR(INDEX(Activos!$B$3:$C$16, MATCH(C20,Activos!$B$3:$B$16),2),"")</f>
        <v>ordenador(es)</v>
      </c>
      <c r="C20" s="27" t="s">
        <v>83</v>
      </c>
      <c r="D20" s="27" t="s">
        <v>54</v>
      </c>
      <c r="E20" s="25" t="s">
        <v>26</v>
      </c>
      <c r="F20" s="26">
        <f>IF(E20='Tablas AR'!$B$4,1,IF('Análisis de Riesgos'!E20='Tablas AR'!$B$5,2,IF('Análisis de Riesgos'!E20='Tablas AR'!$B$6,3,"")))</f>
        <v>2</v>
      </c>
      <c r="G20" s="25" t="s">
        <v>26</v>
      </c>
      <c r="H20" s="26">
        <f>IF(G20='Tablas AR'!$B$10,1,IF('Análisis de Riesgos'!G20='Tablas AR'!$B$11,2,IF('Análisis de Riesgos'!G20='Tablas AR'!$B$12,3,"")))</f>
        <v>2</v>
      </c>
      <c r="I20" s="26">
        <f t="shared" si="0"/>
        <v>4</v>
      </c>
    </row>
    <row r="21" spans="2:9" x14ac:dyDescent="0.25">
      <c r="B21" s="27" t="str">
        <f>IFERROR(INDEX(Activos!$B$3:$C$16, MATCH(C21,Activos!$B$3:$B$16),2),"")</f>
        <v>ordenador(es)</v>
      </c>
      <c r="C21" s="27" t="s">
        <v>83</v>
      </c>
      <c r="D21" s="27" t="s">
        <v>37</v>
      </c>
      <c r="E21" s="25" t="s">
        <v>26</v>
      </c>
      <c r="F21" s="26">
        <f>IF(E21='Tablas AR'!$B$4,1,IF('Análisis de Riesgos'!E21='Tablas AR'!$B$5,2,IF('Análisis de Riesgos'!E21='Tablas AR'!$B$6,3,"")))</f>
        <v>2</v>
      </c>
      <c r="G21" s="25" t="s">
        <v>26</v>
      </c>
      <c r="H21" s="26">
        <f>IF(G21='Tablas AR'!$B$10,1,IF('Análisis de Riesgos'!G21='Tablas AR'!$B$11,2,IF('Análisis de Riesgos'!G21='Tablas AR'!$B$12,3,"")))</f>
        <v>2</v>
      </c>
      <c r="I21" s="26">
        <f t="shared" si="0"/>
        <v>4</v>
      </c>
    </row>
    <row r="22" spans="2:9" x14ac:dyDescent="0.25">
      <c r="B22" s="27" t="str">
        <f>IFERROR(INDEX(Activos!$B$3:$C$16, MATCH(C22,Activos!$B$3:$B$16),2),"")</f>
        <v>ordenador(es)</v>
      </c>
      <c r="C22" s="27" t="s">
        <v>83</v>
      </c>
      <c r="D22" s="27" t="s">
        <v>38</v>
      </c>
      <c r="E22" s="25" t="s">
        <v>25</v>
      </c>
      <c r="F22" s="26">
        <f>IF(E22='Tablas AR'!$B$4,1,IF('Análisis de Riesgos'!E22='Tablas AR'!$B$5,2,IF('Análisis de Riesgos'!E22='Tablas AR'!$B$6,3,"")))</f>
        <v>1</v>
      </c>
      <c r="G22" s="25" t="s">
        <v>27</v>
      </c>
      <c r="H22" s="26">
        <f>IF(G22='Tablas AR'!$B$10,1,IF('Análisis de Riesgos'!G22='Tablas AR'!$B$11,2,IF('Análisis de Riesgos'!G22='Tablas AR'!$B$12,3,"")))</f>
        <v>3</v>
      </c>
      <c r="I22" s="26">
        <f t="shared" si="0"/>
        <v>3</v>
      </c>
    </row>
    <row r="23" spans="2:9" x14ac:dyDescent="0.25">
      <c r="B23" s="27" t="str">
        <f>IFERROR(INDEX(Activos!$B$3:$C$16, MATCH(C23,Activos!$B$3:$B$16),2),"")</f>
        <v>ordenador(es)</v>
      </c>
      <c r="C23" s="27" t="s">
        <v>83</v>
      </c>
      <c r="D23" s="27" t="s">
        <v>39</v>
      </c>
      <c r="E23" s="25" t="s">
        <v>25</v>
      </c>
      <c r="F23" s="26">
        <f>IF(E23='Tablas AR'!$B$4,1,IF('Análisis de Riesgos'!E23='Tablas AR'!$B$5,2,IF('Análisis de Riesgos'!E23='Tablas AR'!$B$6,3,"")))</f>
        <v>1</v>
      </c>
      <c r="G23" s="25" t="s">
        <v>26</v>
      </c>
      <c r="H23" s="26">
        <f>IF(G23='Tablas AR'!$B$10,1,IF('Análisis de Riesgos'!G23='Tablas AR'!$B$11,2,IF('Análisis de Riesgos'!G23='Tablas AR'!$B$12,3,"")))</f>
        <v>2</v>
      </c>
      <c r="I23" s="26">
        <f t="shared" si="0"/>
        <v>2</v>
      </c>
    </row>
    <row r="24" spans="2:9" x14ac:dyDescent="0.25">
      <c r="B24" s="27" t="str">
        <f>IFERROR(INDEX(Activos!$B$3:$C$16, MATCH(C24,Activos!$B$3:$B$16),2),"")</f>
        <v>ordenador(es)</v>
      </c>
      <c r="C24" s="27" t="s">
        <v>83</v>
      </c>
      <c r="D24" s="27" t="s">
        <v>56</v>
      </c>
      <c r="E24" s="25" t="s">
        <v>25</v>
      </c>
      <c r="F24" s="26">
        <f>IF(E24='Tablas AR'!$B$4,1,IF('Análisis de Riesgos'!E24='Tablas AR'!$B$5,2,IF('Análisis de Riesgos'!E24='Tablas AR'!$B$6,3,"")))</f>
        <v>1</v>
      </c>
      <c r="G24" s="25" t="s">
        <v>26</v>
      </c>
      <c r="H24" s="26">
        <f>IF(G24='Tablas AR'!$B$10,1,IF('Análisis de Riesgos'!G24='Tablas AR'!$B$11,2,IF('Análisis de Riesgos'!G24='Tablas AR'!$B$12,3,"")))</f>
        <v>2</v>
      </c>
      <c r="I24" s="26">
        <f t="shared" si="0"/>
        <v>2</v>
      </c>
    </row>
    <row r="25" spans="2:9" x14ac:dyDescent="0.25">
      <c r="B25" s="27" t="str">
        <f>IFERROR(INDEX(Activos!$B$3:$C$16, MATCH(C25,Activos!$B$3:$B$16),2),"")</f>
        <v>conexión a Internet e incluso wifi</v>
      </c>
      <c r="C25" s="27" t="s">
        <v>87</v>
      </c>
      <c r="D25" s="27" t="s">
        <v>31</v>
      </c>
      <c r="E25" s="25" t="s">
        <v>25</v>
      </c>
      <c r="F25" s="26">
        <f>IF(E25='Tablas AR'!$B$4,1,IF('Análisis de Riesgos'!E25='Tablas AR'!$B$5,2,IF('Análisis de Riesgos'!E25='Tablas AR'!$B$6,3,"")))</f>
        <v>1</v>
      </c>
      <c r="G25" s="25" t="s">
        <v>26</v>
      </c>
      <c r="H25" s="26">
        <f>IF(G25='Tablas AR'!$B$10,1,IF('Análisis de Riesgos'!G25='Tablas AR'!$B$11,2,IF('Análisis de Riesgos'!G25='Tablas AR'!$B$12,3,"")))</f>
        <v>2</v>
      </c>
      <c r="I25" s="26">
        <f t="shared" si="0"/>
        <v>2</v>
      </c>
    </row>
    <row r="26" spans="2:9" x14ac:dyDescent="0.25">
      <c r="B26" s="27" t="str">
        <f>IFERROR(INDEX(Activos!$B$3:$C$16, MATCH(C26,Activos!$B$3:$B$16),2),"")</f>
        <v>conexión a Internet e incluso wifi</v>
      </c>
      <c r="C26" s="27" t="s">
        <v>87</v>
      </c>
      <c r="D26" s="27" t="s">
        <v>40</v>
      </c>
      <c r="E26" s="25" t="s">
        <v>25</v>
      </c>
      <c r="F26" s="26">
        <f>IF(E26='Tablas AR'!$B$4,1,IF('Análisis de Riesgos'!E26='Tablas AR'!$B$5,2,IF('Análisis de Riesgos'!E26='Tablas AR'!$B$6,3,"")))</f>
        <v>1</v>
      </c>
      <c r="G26" s="25" t="s">
        <v>26</v>
      </c>
      <c r="H26" s="26">
        <f>IF(G26='Tablas AR'!$B$10,1,IF('Análisis de Riesgos'!G26='Tablas AR'!$B$11,2,IF('Análisis de Riesgos'!G26='Tablas AR'!$B$12,3,"")))</f>
        <v>2</v>
      </c>
      <c r="I26" s="26">
        <f t="shared" si="0"/>
        <v>2</v>
      </c>
    </row>
    <row r="27" spans="2:9" x14ac:dyDescent="0.25">
      <c r="B27" s="27" t="str">
        <f>IFERROR(INDEX(Activos!$B$3:$C$16, MATCH(C27,Activos!$B$3:$B$16),2),"")</f>
        <v>conexión a Internet e incluso wifi</v>
      </c>
      <c r="C27" s="27" t="s">
        <v>87</v>
      </c>
      <c r="D27" s="27" t="s">
        <v>41</v>
      </c>
      <c r="E27" s="25" t="s">
        <v>25</v>
      </c>
      <c r="F27" s="26">
        <f>IF(E27='Tablas AR'!$B$4,1,IF('Análisis de Riesgos'!E27='Tablas AR'!$B$5,2,IF('Análisis de Riesgos'!E27='Tablas AR'!$B$6,3,"")))</f>
        <v>1</v>
      </c>
      <c r="G27" s="25" t="s">
        <v>26</v>
      </c>
      <c r="H27" s="26">
        <f>IF(G27='Tablas AR'!$B$10,1,IF('Análisis de Riesgos'!G27='Tablas AR'!$B$11,2,IF('Análisis de Riesgos'!G27='Tablas AR'!$B$12,3,"")))</f>
        <v>2</v>
      </c>
      <c r="I27" s="26">
        <f t="shared" si="0"/>
        <v>2</v>
      </c>
    </row>
    <row r="28" spans="2:9" x14ac:dyDescent="0.25">
      <c r="B28" s="27" t="str">
        <f>IFERROR(INDEX(Activos!$B$3:$C$16, MATCH(C28,Activos!$B$3:$B$16),2),"")</f>
        <v>conexión a Internet e incluso wifi</v>
      </c>
      <c r="C28" s="27" t="s">
        <v>87</v>
      </c>
      <c r="D28" s="27" t="s">
        <v>42</v>
      </c>
      <c r="E28" s="25" t="s">
        <v>25</v>
      </c>
      <c r="F28" s="26">
        <f>IF(E28='Tablas AR'!$B$4,1,IF('Análisis de Riesgos'!E28='Tablas AR'!$B$5,2,IF('Análisis de Riesgos'!E28='Tablas AR'!$B$6,3,"")))</f>
        <v>1</v>
      </c>
      <c r="G28" s="25" t="s">
        <v>26</v>
      </c>
      <c r="H28" s="26">
        <f>IF(G28='Tablas AR'!$B$10,1,IF('Análisis de Riesgos'!G28='Tablas AR'!$B$11,2,IF('Análisis de Riesgos'!G28='Tablas AR'!$B$12,3,"")))</f>
        <v>2</v>
      </c>
      <c r="I28" s="26">
        <f t="shared" si="0"/>
        <v>2</v>
      </c>
    </row>
    <row r="29" spans="2:9" x14ac:dyDescent="0.25">
      <c r="B29" s="27" t="str">
        <f>IFERROR(INDEX(Activos!$B$3:$C$16, MATCH(C29,Activos!$B$3:$B$16),2),"")</f>
        <v>conexión a Internet e incluso wifi</v>
      </c>
      <c r="C29" s="27" t="s">
        <v>87</v>
      </c>
      <c r="D29" s="27" t="s">
        <v>43</v>
      </c>
      <c r="E29" s="25" t="s">
        <v>25</v>
      </c>
      <c r="F29" s="26">
        <f>IF(E29='Tablas AR'!$B$4,1,IF('Análisis de Riesgos'!E29='Tablas AR'!$B$5,2,IF('Análisis de Riesgos'!E29='Tablas AR'!$B$6,3,"")))</f>
        <v>1</v>
      </c>
      <c r="G29" s="25" t="s">
        <v>27</v>
      </c>
      <c r="H29" s="26">
        <f>IF(G29='Tablas AR'!$B$10,1,IF('Análisis de Riesgos'!G29='Tablas AR'!$B$11,2,IF('Análisis de Riesgos'!G29='Tablas AR'!$B$12,3,"")))</f>
        <v>3</v>
      </c>
      <c r="I29" s="26">
        <f t="shared" si="0"/>
        <v>3</v>
      </c>
    </row>
    <row r="30" spans="2:9" ht="30" x14ac:dyDescent="0.25">
      <c r="B30" s="27" t="str">
        <f>IFERROR(INDEX(Activos!$B$3:$C$16, MATCH(C30,Activos!$B$3:$B$16),2),"")</f>
        <v>conexión a Internet e incluso wifi</v>
      </c>
      <c r="C30" s="27" t="s">
        <v>87</v>
      </c>
      <c r="D30" s="27" t="s">
        <v>45</v>
      </c>
      <c r="E30" s="25" t="s">
        <v>25</v>
      </c>
      <c r="F30" s="26">
        <f>IF(E30='Tablas AR'!$B$4,1,IF('Análisis de Riesgos'!E30='Tablas AR'!$B$5,2,IF('Análisis de Riesgos'!E30='Tablas AR'!$B$6,3,"")))</f>
        <v>1</v>
      </c>
      <c r="G30" s="25" t="s">
        <v>25</v>
      </c>
      <c r="H30" s="26">
        <f>IF(G30='Tablas AR'!$B$10,1,IF('Análisis de Riesgos'!G30='Tablas AR'!$B$11,2,IF('Análisis de Riesgos'!G30='Tablas AR'!$B$12,3,"")))</f>
        <v>1</v>
      </c>
      <c r="I30" s="26">
        <f t="shared" si="0"/>
        <v>1</v>
      </c>
    </row>
    <row r="31" spans="2:9" x14ac:dyDescent="0.25">
      <c r="B31" s="27" t="str">
        <f>IFERROR(INDEX(Activos!$B$3:$C$16, MATCH(C31,Activos!$B$3:$B$16),2),"")</f>
        <v>conexión a Internet e incluso wifi</v>
      </c>
      <c r="C31" s="27" t="s">
        <v>87</v>
      </c>
      <c r="D31" s="27" t="s">
        <v>32</v>
      </c>
      <c r="E31" s="25" t="s">
        <v>25</v>
      </c>
      <c r="F31" s="26">
        <f>IF(E31='Tablas AR'!$B$4,1,IF('Análisis de Riesgos'!E31='Tablas AR'!$B$5,2,IF('Análisis de Riesgos'!E31='Tablas AR'!$B$6,3,"")))</f>
        <v>1</v>
      </c>
      <c r="G31" s="25" t="s">
        <v>26</v>
      </c>
      <c r="H31" s="26">
        <f>IF(G31='Tablas AR'!$B$10,1,IF('Análisis de Riesgos'!G31='Tablas AR'!$B$11,2,IF('Análisis de Riesgos'!G31='Tablas AR'!$B$12,3,"")))</f>
        <v>2</v>
      </c>
      <c r="I31" s="26">
        <f t="shared" si="0"/>
        <v>2</v>
      </c>
    </row>
    <row r="32" spans="2:9" x14ac:dyDescent="0.25">
      <c r="B32" s="27" t="str">
        <f>IFERROR(INDEX(Activos!$B$3:$C$16, MATCH(C32,Activos!$B$3:$B$16),2),"")</f>
        <v>conexión a Internet e incluso wifi</v>
      </c>
      <c r="C32" s="27" t="s">
        <v>87</v>
      </c>
      <c r="D32" s="27" t="s">
        <v>34</v>
      </c>
      <c r="E32" s="25" t="s">
        <v>25</v>
      </c>
      <c r="F32" s="26">
        <f>IF(E32='Tablas AR'!$B$4,1,IF('Análisis de Riesgos'!E32='Tablas AR'!$B$5,2,IF('Análisis de Riesgos'!E32='Tablas AR'!$B$6,3,"")))</f>
        <v>1</v>
      </c>
      <c r="G32" s="25" t="s">
        <v>26</v>
      </c>
      <c r="H32" s="26">
        <f>IF(G32='Tablas AR'!$B$10,1,IF('Análisis de Riesgos'!G32='Tablas AR'!$B$11,2,IF('Análisis de Riesgos'!G32='Tablas AR'!$B$12,3,"")))</f>
        <v>2</v>
      </c>
      <c r="I32" s="26">
        <f t="shared" si="0"/>
        <v>2</v>
      </c>
    </row>
    <row r="33" spans="2:9" ht="30" x14ac:dyDescent="0.25">
      <c r="B33" s="27" t="str">
        <f>IFERROR(INDEX(Activos!$B$3:$C$16, MATCH(C33,Activos!$B$3:$B$16),2),"")</f>
        <v>conexión a Internet e incluso wifi</v>
      </c>
      <c r="C33" s="27" t="s">
        <v>87</v>
      </c>
      <c r="D33" s="27" t="s">
        <v>48</v>
      </c>
      <c r="E33" s="25" t="s">
        <v>26</v>
      </c>
      <c r="F33" s="26">
        <f>IF(E33='Tablas AR'!$B$4,1,IF('Análisis de Riesgos'!E33='Tablas AR'!$B$5,2,IF('Análisis de Riesgos'!E33='Tablas AR'!$B$6,3,"")))</f>
        <v>2</v>
      </c>
      <c r="G33" s="25" t="s">
        <v>26</v>
      </c>
      <c r="H33" s="26">
        <f>IF(G33='Tablas AR'!$B$10,1,IF('Análisis de Riesgos'!G33='Tablas AR'!$B$11,2,IF('Análisis de Riesgos'!G33='Tablas AR'!$B$12,3,"")))</f>
        <v>2</v>
      </c>
      <c r="I33" s="26">
        <f t="shared" si="0"/>
        <v>4</v>
      </c>
    </row>
    <row r="34" spans="2:9" x14ac:dyDescent="0.25">
      <c r="B34" s="27" t="str">
        <f>IFERROR(INDEX(Activos!$B$3:$C$16, MATCH(C34,Activos!$B$3:$B$16),2),"")</f>
        <v>conexión a Internet e incluso wifi</v>
      </c>
      <c r="C34" s="27" t="s">
        <v>87</v>
      </c>
      <c r="D34" s="27" t="s">
        <v>50</v>
      </c>
      <c r="E34" s="25" t="s">
        <v>26</v>
      </c>
      <c r="F34" s="26">
        <f>IF(E34='Tablas AR'!$B$4,1,IF('Análisis de Riesgos'!E34='Tablas AR'!$B$5,2,IF('Análisis de Riesgos'!E34='Tablas AR'!$B$6,3,"")))</f>
        <v>2</v>
      </c>
      <c r="G34" s="25" t="s">
        <v>26</v>
      </c>
      <c r="H34" s="26">
        <f>IF(G34='Tablas AR'!$B$10,1,IF('Análisis de Riesgos'!G34='Tablas AR'!$B$11,2,IF('Análisis de Riesgos'!G34='Tablas AR'!$B$12,3,"")))</f>
        <v>2</v>
      </c>
      <c r="I34" s="26">
        <f t="shared" si="0"/>
        <v>4</v>
      </c>
    </row>
    <row r="35" spans="2:9" x14ac:dyDescent="0.25">
      <c r="B35" s="27" t="str">
        <f>IFERROR(INDEX(Activos!$B$3:$C$16, MATCH(C35,Activos!$B$3:$B$16),2),"")</f>
        <v>conexión a Internet e incluso wifi</v>
      </c>
      <c r="C35" s="27" t="s">
        <v>87</v>
      </c>
      <c r="D35" s="27" t="s">
        <v>53</v>
      </c>
      <c r="E35" s="25" t="s">
        <v>25</v>
      </c>
      <c r="F35" s="26">
        <f>IF(E35='Tablas AR'!$B$4,1,IF('Análisis de Riesgos'!E35='Tablas AR'!$B$5,2,IF('Análisis de Riesgos'!E35='Tablas AR'!$B$6,3,"")))</f>
        <v>1</v>
      </c>
      <c r="G35" s="25" t="s">
        <v>27</v>
      </c>
      <c r="H35" s="26">
        <f>IF(G35='Tablas AR'!$B$10,1,IF('Análisis de Riesgos'!G35='Tablas AR'!$B$11,2,IF('Análisis de Riesgos'!G35='Tablas AR'!$B$12,3,"")))</f>
        <v>3</v>
      </c>
      <c r="I35" s="26">
        <f t="shared" si="0"/>
        <v>3</v>
      </c>
    </row>
    <row r="36" spans="2:9" x14ac:dyDescent="0.25">
      <c r="B36" s="27" t="str">
        <f>IFERROR(INDEX(Activos!$B$3:$C$16, MATCH(C36,Activos!$B$3:$B$16),2),"")</f>
        <v>conexión a Internet e incluso wifi</v>
      </c>
      <c r="C36" s="27" t="s">
        <v>87</v>
      </c>
      <c r="D36" s="27" t="s">
        <v>54</v>
      </c>
      <c r="E36" s="25" t="s">
        <v>26</v>
      </c>
      <c r="F36" s="26">
        <f>IF(E36='Tablas AR'!$B$4,1,IF('Análisis de Riesgos'!E36='Tablas AR'!$B$5,2,IF('Análisis de Riesgos'!E36='Tablas AR'!$B$6,3,"")))</f>
        <v>2</v>
      </c>
      <c r="G36" s="25" t="s">
        <v>26</v>
      </c>
      <c r="H36" s="26">
        <f>IF(G36='Tablas AR'!$B$10,1,IF('Análisis de Riesgos'!G36='Tablas AR'!$B$11,2,IF('Análisis de Riesgos'!G36='Tablas AR'!$B$12,3,"")))</f>
        <v>2</v>
      </c>
      <c r="I36" s="26">
        <f t="shared" si="0"/>
        <v>4</v>
      </c>
    </row>
    <row r="37" spans="2:9" x14ac:dyDescent="0.25">
      <c r="B37" s="27" t="str">
        <f>IFERROR(INDEX(Activos!$B$3:$C$16, MATCH(C37,Activos!$B$3:$B$16),2),"")</f>
        <v>conexión a Internet e incluso wifi</v>
      </c>
      <c r="C37" s="27" t="s">
        <v>87</v>
      </c>
      <c r="D37" s="27" t="s">
        <v>37</v>
      </c>
      <c r="E37" s="25" t="s">
        <v>26</v>
      </c>
      <c r="F37" s="26">
        <f>IF(E37='Tablas AR'!$B$4,1,IF('Análisis de Riesgos'!E37='Tablas AR'!$B$5,2,IF('Análisis de Riesgos'!E37='Tablas AR'!$B$6,3,"")))</f>
        <v>2</v>
      </c>
      <c r="G37" s="25" t="s">
        <v>26</v>
      </c>
      <c r="H37" s="26">
        <f>IF(G37='Tablas AR'!$B$10,1,IF('Análisis de Riesgos'!G37='Tablas AR'!$B$11,2,IF('Análisis de Riesgos'!G37='Tablas AR'!$B$12,3,"")))</f>
        <v>2</v>
      </c>
      <c r="I37" s="26">
        <f t="shared" si="0"/>
        <v>4</v>
      </c>
    </row>
    <row r="38" spans="2:9" x14ac:dyDescent="0.25">
      <c r="B38" s="27" t="str">
        <f>IFERROR(INDEX(Activos!$B$3:$C$16, MATCH(C38,Activos!$B$3:$B$16),2),"")</f>
        <v>conexión a Internet e incluso wifi</v>
      </c>
      <c r="C38" s="27" t="s">
        <v>87</v>
      </c>
      <c r="D38" s="27" t="s">
        <v>38</v>
      </c>
      <c r="E38" s="25" t="s">
        <v>25</v>
      </c>
      <c r="F38" s="26">
        <f>IF(E38='Tablas AR'!$B$4,1,IF('Análisis de Riesgos'!E38='Tablas AR'!$B$5,2,IF('Análisis de Riesgos'!E38='Tablas AR'!$B$6,3,"")))</f>
        <v>1</v>
      </c>
      <c r="G38" s="25" t="s">
        <v>27</v>
      </c>
      <c r="H38" s="26">
        <f>IF(G38='Tablas AR'!$B$10,1,IF('Análisis de Riesgos'!G38='Tablas AR'!$B$11,2,IF('Análisis de Riesgos'!G38='Tablas AR'!$B$12,3,"")))</f>
        <v>3</v>
      </c>
      <c r="I38" s="26">
        <f t="shared" si="0"/>
        <v>3</v>
      </c>
    </row>
    <row r="39" spans="2:9" x14ac:dyDescent="0.25">
      <c r="B39" s="27" t="str">
        <f>IFERROR(INDEX(Activos!$B$3:$C$16, MATCH(C39,Activos!$B$3:$B$16),2),"")</f>
        <v>conexión a Internet e incluso wifi</v>
      </c>
      <c r="C39" s="27" t="s">
        <v>87</v>
      </c>
      <c r="D39" s="27" t="s">
        <v>39</v>
      </c>
      <c r="E39" s="25" t="s">
        <v>25</v>
      </c>
      <c r="F39" s="26">
        <f>IF(E39='Tablas AR'!$B$4,1,IF('Análisis de Riesgos'!E39='Tablas AR'!$B$5,2,IF('Análisis de Riesgos'!E39='Tablas AR'!$B$6,3,"")))</f>
        <v>1</v>
      </c>
      <c r="G39" s="25" t="s">
        <v>26</v>
      </c>
      <c r="H39" s="26">
        <f>IF(G39='Tablas AR'!$B$10,1,IF('Análisis de Riesgos'!G39='Tablas AR'!$B$11,2,IF('Análisis de Riesgos'!G39='Tablas AR'!$B$12,3,"")))</f>
        <v>2</v>
      </c>
      <c r="I39" s="26">
        <f t="shared" si="0"/>
        <v>2</v>
      </c>
    </row>
    <row r="40" spans="2:9" x14ac:dyDescent="0.25">
      <c r="B40" s="27" t="str">
        <f>IFERROR(INDEX(Activos!$B$3:$C$16, MATCH(C40,Activos!$B$3:$B$16),2),"")</f>
        <v>conexión a Internet e incluso wifi</v>
      </c>
      <c r="C40" s="27" t="s">
        <v>87</v>
      </c>
      <c r="D40" s="27" t="s">
        <v>55</v>
      </c>
      <c r="E40" s="25" t="s">
        <v>25</v>
      </c>
      <c r="F40" s="26">
        <f>IF(E40='Tablas AR'!$B$4,1,IF('Análisis de Riesgos'!E40='Tablas AR'!$B$5,2,IF('Análisis de Riesgos'!E40='Tablas AR'!$B$6,3,"")))</f>
        <v>1</v>
      </c>
      <c r="G40" s="25" t="s">
        <v>27</v>
      </c>
      <c r="H40" s="26">
        <f>IF(G40='Tablas AR'!$B$10,1,IF('Análisis de Riesgos'!G40='Tablas AR'!$B$11,2,IF('Análisis de Riesgos'!G40='Tablas AR'!$B$12,3,"")))</f>
        <v>3</v>
      </c>
      <c r="I40" s="26">
        <f t="shared" si="0"/>
        <v>3</v>
      </c>
    </row>
    <row r="41" spans="2:9" x14ac:dyDescent="0.25">
      <c r="B41" s="27" t="str">
        <f>IFERROR(INDEX(Activos!$B$3:$C$16, MATCH(C41,Activos!$B$3:$B$16),2),"")</f>
        <v>conexión a Internet e incluso wifi</v>
      </c>
      <c r="C41" s="27" t="s">
        <v>87</v>
      </c>
      <c r="D41" s="27" t="s">
        <v>58</v>
      </c>
      <c r="E41" s="25" t="s">
        <v>26</v>
      </c>
      <c r="F41" s="26">
        <f>IF(E41='Tablas AR'!$B$4,1,IF('Análisis de Riesgos'!E41='Tablas AR'!$B$5,2,IF('Análisis de Riesgos'!E41='Tablas AR'!$B$6,3,"")))</f>
        <v>2</v>
      </c>
      <c r="G41" s="25" t="s">
        <v>26</v>
      </c>
      <c r="H41" s="26">
        <f>IF(G41='Tablas AR'!$B$10,1,IF('Análisis de Riesgos'!G41='Tablas AR'!$B$11,2,IF('Análisis de Riesgos'!G41='Tablas AR'!$B$12,3,"")))</f>
        <v>2</v>
      </c>
      <c r="I41" s="26">
        <f t="shared" si="0"/>
        <v>4</v>
      </c>
    </row>
    <row r="42" spans="2:9" ht="60" x14ac:dyDescent="0.25">
      <c r="B42" s="27" t="str">
        <f>IFERROR(INDEX(Activos!$B$3:$C$16, MATCH(C42,Activos!$B$3:$B$16),2),"")</f>
        <v>soluciones tecnológicas gratuitas para la gestión empresarial como correo electrónico, CRM e incluso herramientas colaborativas o de almacenamiento cloud</v>
      </c>
      <c r="C42" s="27" t="s">
        <v>89</v>
      </c>
      <c r="D42" s="27" t="s">
        <v>40</v>
      </c>
      <c r="E42" s="25" t="s">
        <v>25</v>
      </c>
      <c r="F42" s="26">
        <f>IF(E42='Tablas AR'!$B$4,1,IF('Análisis de Riesgos'!E42='Tablas AR'!$B$5,2,IF('Análisis de Riesgos'!E42='Tablas AR'!$B$6,3,"")))</f>
        <v>1</v>
      </c>
      <c r="G42" s="25" t="s">
        <v>26</v>
      </c>
      <c r="H42" s="26">
        <f>IF(G42='Tablas AR'!$B$10,1,IF('Análisis de Riesgos'!G42='Tablas AR'!$B$11,2,IF('Análisis de Riesgos'!G42='Tablas AR'!$B$12,3,"")))</f>
        <v>2</v>
      </c>
      <c r="I42" s="26">
        <f t="shared" si="0"/>
        <v>2</v>
      </c>
    </row>
    <row r="43" spans="2:9" ht="60" x14ac:dyDescent="0.25">
      <c r="B43" s="27" t="str">
        <f>IFERROR(INDEX(Activos!$B$3:$C$16, MATCH(C43,Activos!$B$3:$B$16),2),"")</f>
        <v>soluciones tecnológicas gratuitas para la gestión empresarial como correo electrónico, CRM e incluso herramientas colaborativas o de almacenamiento cloud</v>
      </c>
      <c r="C43" s="27" t="s">
        <v>89</v>
      </c>
      <c r="D43" s="27" t="s">
        <v>41</v>
      </c>
      <c r="E43" s="25" t="s">
        <v>25</v>
      </c>
      <c r="F43" s="26">
        <f>IF(E43='Tablas AR'!$B$4,1,IF('Análisis de Riesgos'!E43='Tablas AR'!$B$5,2,IF('Análisis de Riesgos'!E43='Tablas AR'!$B$6,3,"")))</f>
        <v>1</v>
      </c>
      <c r="G43" s="25" t="s">
        <v>26</v>
      </c>
      <c r="H43" s="26">
        <f>IF(G43='Tablas AR'!$B$10,1,IF('Análisis de Riesgos'!G43='Tablas AR'!$B$11,2,IF('Análisis de Riesgos'!G43='Tablas AR'!$B$12,3,"")))</f>
        <v>2</v>
      </c>
      <c r="I43" s="26">
        <f t="shared" si="0"/>
        <v>2</v>
      </c>
    </row>
    <row r="44" spans="2:9" ht="60" x14ac:dyDescent="0.25">
      <c r="B44" s="27" t="str">
        <f>IFERROR(INDEX(Activos!$B$3:$C$16, MATCH(C44,Activos!$B$3:$B$16),2),"")</f>
        <v>soluciones tecnológicas gratuitas para la gestión empresarial como correo electrónico, CRM e incluso herramientas colaborativas o de almacenamiento cloud</v>
      </c>
      <c r="C44" s="27" t="s">
        <v>89</v>
      </c>
      <c r="D44" s="27" t="s">
        <v>42</v>
      </c>
      <c r="E44" s="25" t="s">
        <v>25</v>
      </c>
      <c r="F44" s="26">
        <f>IF(E44='Tablas AR'!$B$4,1,IF('Análisis de Riesgos'!E44='Tablas AR'!$B$5,2,IF('Análisis de Riesgos'!E44='Tablas AR'!$B$6,3,"")))</f>
        <v>1</v>
      </c>
      <c r="G44" s="25" t="s">
        <v>26</v>
      </c>
      <c r="H44" s="26">
        <f>IF(G44='Tablas AR'!$B$10,1,IF('Análisis de Riesgos'!G44='Tablas AR'!$B$11,2,IF('Análisis de Riesgos'!G44='Tablas AR'!$B$12,3,"")))</f>
        <v>2</v>
      </c>
      <c r="I44" s="26">
        <f t="shared" si="0"/>
        <v>2</v>
      </c>
    </row>
    <row r="45" spans="2:9" ht="60" x14ac:dyDescent="0.25">
      <c r="B45" s="27" t="str">
        <f>IFERROR(INDEX(Activos!$B$3:$C$16, MATCH(C45,Activos!$B$3:$B$16),2),"")</f>
        <v>soluciones tecnológicas gratuitas para la gestión empresarial como correo electrónico, CRM e incluso herramientas colaborativas o de almacenamiento cloud</v>
      </c>
      <c r="C45" s="27" t="s">
        <v>89</v>
      </c>
      <c r="D45" s="27" t="s">
        <v>43</v>
      </c>
      <c r="E45" s="25" t="s">
        <v>25</v>
      </c>
      <c r="F45" s="26">
        <f>IF(E45='Tablas AR'!$B$4,1,IF('Análisis de Riesgos'!E45='Tablas AR'!$B$5,2,IF('Análisis de Riesgos'!E45='Tablas AR'!$B$6,3,"")))</f>
        <v>1</v>
      </c>
      <c r="G45" s="25" t="s">
        <v>27</v>
      </c>
      <c r="H45" s="26">
        <f>IF(G45='Tablas AR'!$B$10,1,IF('Análisis de Riesgos'!G45='Tablas AR'!$B$11,2,IF('Análisis de Riesgos'!G45='Tablas AR'!$B$12,3,"")))</f>
        <v>3</v>
      </c>
      <c r="I45" s="26">
        <f t="shared" si="0"/>
        <v>3</v>
      </c>
    </row>
    <row r="46" spans="2:9" ht="60" x14ac:dyDescent="0.25">
      <c r="B46" s="27" t="str">
        <f>IFERROR(INDEX(Activos!$B$3:$C$16, MATCH(C46,Activos!$B$3:$B$16),2),"")</f>
        <v>soluciones tecnológicas gratuitas para la gestión empresarial como correo electrónico, CRM e incluso herramientas colaborativas o de almacenamiento cloud</v>
      </c>
      <c r="C46" s="27" t="s">
        <v>89</v>
      </c>
      <c r="D46" s="27" t="s">
        <v>44</v>
      </c>
      <c r="E46" s="25" t="s">
        <v>26</v>
      </c>
      <c r="F46" s="26">
        <f>IF(E46='Tablas AR'!$B$4,1,IF('Análisis de Riesgos'!E46='Tablas AR'!$B$5,2,IF('Análisis de Riesgos'!E46='Tablas AR'!$B$6,3,"")))</f>
        <v>2</v>
      </c>
      <c r="G46" s="25" t="s">
        <v>27</v>
      </c>
      <c r="H46" s="26">
        <f>IF(G46='Tablas AR'!$B$10,1,IF('Análisis de Riesgos'!G46='Tablas AR'!$B$11,2,IF('Análisis de Riesgos'!G46='Tablas AR'!$B$12,3,"")))</f>
        <v>3</v>
      </c>
      <c r="I46" s="26">
        <f t="shared" si="0"/>
        <v>6</v>
      </c>
    </row>
    <row r="47" spans="2:9" ht="60" x14ac:dyDescent="0.25">
      <c r="B47" s="27" t="str">
        <f>IFERROR(INDEX(Activos!$B$3:$C$16, MATCH(C47,Activos!$B$3:$B$16),2),"")</f>
        <v>soluciones tecnológicas gratuitas para la gestión empresarial como correo electrónico, CRM e incluso herramientas colaborativas o de almacenamiento cloud</v>
      </c>
      <c r="C47" s="27" t="s">
        <v>89</v>
      </c>
      <c r="D47" s="27" t="s">
        <v>45</v>
      </c>
      <c r="E47" s="25" t="s">
        <v>25</v>
      </c>
      <c r="F47" s="26">
        <f>IF(E47='Tablas AR'!$B$4,1,IF('Análisis de Riesgos'!E47='Tablas AR'!$B$5,2,IF('Análisis de Riesgos'!E47='Tablas AR'!$B$6,3,"")))</f>
        <v>1</v>
      </c>
      <c r="G47" s="25" t="s">
        <v>25</v>
      </c>
      <c r="H47" s="26">
        <f>IF(G47='Tablas AR'!$B$10,1,IF('Análisis de Riesgos'!G47='Tablas AR'!$B$11,2,IF('Análisis de Riesgos'!G47='Tablas AR'!$B$12,3,"")))</f>
        <v>1</v>
      </c>
      <c r="I47" s="26">
        <f t="shared" si="0"/>
        <v>1</v>
      </c>
    </row>
    <row r="48" spans="2:9" ht="60" x14ac:dyDescent="0.25">
      <c r="B48" s="27" t="str">
        <f>IFERROR(INDEX(Activos!$B$3:$C$16, MATCH(C48,Activos!$B$3:$B$16),2),"")</f>
        <v>soluciones tecnológicas gratuitas para la gestión empresarial como correo electrónico, CRM e incluso herramientas colaborativas o de almacenamiento cloud</v>
      </c>
      <c r="C48" s="27" t="s">
        <v>89</v>
      </c>
      <c r="D48" s="27" t="s">
        <v>46</v>
      </c>
      <c r="E48" s="25" t="s">
        <v>25</v>
      </c>
      <c r="F48" s="26">
        <f>IF(E48='Tablas AR'!$B$4,1,IF('Análisis de Riesgos'!E48='Tablas AR'!$B$5,2,IF('Análisis de Riesgos'!E48='Tablas AR'!$B$6,3,"")))</f>
        <v>1</v>
      </c>
      <c r="G48" s="25" t="s">
        <v>27</v>
      </c>
      <c r="H48" s="26">
        <f>IF(G48='Tablas AR'!$B$10,1,IF('Análisis de Riesgos'!G48='Tablas AR'!$B$11,2,IF('Análisis de Riesgos'!G48='Tablas AR'!$B$12,3,"")))</f>
        <v>3</v>
      </c>
      <c r="I48" s="26">
        <f t="shared" si="0"/>
        <v>3</v>
      </c>
    </row>
    <row r="49" spans="2:9" ht="60" x14ac:dyDescent="0.25">
      <c r="B49" s="27" t="str">
        <f>IFERROR(INDEX(Activos!$B$3:$C$16, MATCH(C49,Activos!$B$3:$B$16),2),"")</f>
        <v>soluciones tecnológicas gratuitas para la gestión empresarial como correo electrónico, CRM e incluso herramientas colaborativas o de almacenamiento cloud</v>
      </c>
      <c r="C49" s="27" t="s">
        <v>89</v>
      </c>
      <c r="D49" s="27" t="s">
        <v>47</v>
      </c>
      <c r="E49" s="25" t="s">
        <v>25</v>
      </c>
      <c r="F49" s="26">
        <f>IF(E49='Tablas AR'!$B$4,1,IF('Análisis de Riesgos'!E49='Tablas AR'!$B$5,2,IF('Análisis de Riesgos'!E49='Tablas AR'!$B$6,3,"")))</f>
        <v>1</v>
      </c>
      <c r="G49" s="25" t="s">
        <v>26</v>
      </c>
      <c r="H49" s="26">
        <f>IF(G49='Tablas AR'!$B$10,1,IF('Análisis de Riesgos'!G49='Tablas AR'!$B$11,2,IF('Análisis de Riesgos'!G49='Tablas AR'!$B$12,3,"")))</f>
        <v>2</v>
      </c>
      <c r="I49" s="26">
        <f t="shared" si="0"/>
        <v>2</v>
      </c>
    </row>
    <row r="50" spans="2:9" ht="60" x14ac:dyDescent="0.25">
      <c r="B50" s="27" t="str">
        <f>IFERROR(INDEX(Activos!$B$3:$C$16, MATCH(C50,Activos!$B$3:$B$16),2),"")</f>
        <v>soluciones tecnológicas gratuitas para la gestión empresarial como correo electrónico, CRM e incluso herramientas colaborativas o de almacenamiento cloud</v>
      </c>
      <c r="C50" s="27" t="s">
        <v>89</v>
      </c>
      <c r="D50" s="27" t="s">
        <v>48</v>
      </c>
      <c r="E50" s="25" t="s">
        <v>26</v>
      </c>
      <c r="F50" s="26">
        <f>IF(E50='Tablas AR'!$B$4,1,IF('Análisis de Riesgos'!E50='Tablas AR'!$B$5,2,IF('Análisis de Riesgos'!E50='Tablas AR'!$B$6,3,"")))</f>
        <v>2</v>
      </c>
      <c r="G50" s="25" t="s">
        <v>26</v>
      </c>
      <c r="H50" s="26">
        <f>IF(G50='Tablas AR'!$B$10,1,IF('Análisis de Riesgos'!G50='Tablas AR'!$B$11,2,IF('Análisis de Riesgos'!G50='Tablas AR'!$B$12,3,"")))</f>
        <v>2</v>
      </c>
      <c r="I50" s="26">
        <f t="shared" si="0"/>
        <v>4</v>
      </c>
    </row>
    <row r="51" spans="2:9" ht="60" x14ac:dyDescent="0.25">
      <c r="B51" s="27" t="str">
        <f>IFERROR(INDEX(Activos!$B$3:$C$16, MATCH(C51,Activos!$B$3:$B$16),2),"")</f>
        <v>soluciones tecnológicas gratuitas para la gestión empresarial como correo electrónico, CRM e incluso herramientas colaborativas o de almacenamiento cloud</v>
      </c>
      <c r="C51" s="27" t="s">
        <v>89</v>
      </c>
      <c r="D51" s="27" t="s">
        <v>49</v>
      </c>
      <c r="E51" s="25" t="s">
        <v>25</v>
      </c>
      <c r="F51" s="26">
        <f>IF(E51='Tablas AR'!$B$4,1,IF('Análisis de Riesgos'!E51='Tablas AR'!$B$5,2,IF('Análisis de Riesgos'!E51='Tablas AR'!$B$6,3,"")))</f>
        <v>1</v>
      </c>
      <c r="G51" s="25" t="s">
        <v>26</v>
      </c>
      <c r="H51" s="26">
        <f>IF(G51='Tablas AR'!$B$10,1,IF('Análisis de Riesgos'!G51='Tablas AR'!$B$11,2,IF('Análisis de Riesgos'!G51='Tablas AR'!$B$12,3,"")))</f>
        <v>2</v>
      </c>
      <c r="I51" s="26">
        <f t="shared" si="0"/>
        <v>2</v>
      </c>
    </row>
    <row r="52" spans="2:9" ht="60" x14ac:dyDescent="0.25">
      <c r="B52" s="27" t="str">
        <f>IFERROR(INDEX(Activos!$B$3:$C$16, MATCH(C52,Activos!$B$3:$B$16),2),"")</f>
        <v>soluciones tecnológicas gratuitas para la gestión empresarial como correo electrónico, CRM e incluso herramientas colaborativas o de almacenamiento cloud</v>
      </c>
      <c r="C52" s="27" t="s">
        <v>89</v>
      </c>
      <c r="D52" s="27" t="s">
        <v>50</v>
      </c>
      <c r="E52" s="25" t="s">
        <v>26</v>
      </c>
      <c r="F52" s="26">
        <f>IF(E52='Tablas AR'!$B$4,1,IF('Análisis de Riesgos'!E52='Tablas AR'!$B$5,2,IF('Análisis de Riesgos'!E52='Tablas AR'!$B$6,3,"")))</f>
        <v>2</v>
      </c>
      <c r="G52" s="25" t="s">
        <v>26</v>
      </c>
      <c r="H52" s="26">
        <f>IF(G52='Tablas AR'!$B$10,1,IF('Análisis de Riesgos'!G52='Tablas AR'!$B$11,2,IF('Análisis de Riesgos'!G52='Tablas AR'!$B$12,3,"")))</f>
        <v>2</v>
      </c>
      <c r="I52" s="26">
        <f t="shared" si="0"/>
        <v>4</v>
      </c>
    </row>
    <row r="53" spans="2:9" ht="60" x14ac:dyDescent="0.25">
      <c r="B53" s="27" t="str">
        <f>IFERROR(INDEX(Activos!$B$3:$C$16, MATCH(C53,Activos!$B$3:$B$16),2),"")</f>
        <v>soluciones tecnológicas gratuitas para la gestión empresarial como correo electrónico, CRM e incluso herramientas colaborativas o de almacenamiento cloud</v>
      </c>
      <c r="C53" s="27" t="s">
        <v>89</v>
      </c>
      <c r="D53" s="27" t="s">
        <v>51</v>
      </c>
      <c r="E53" s="25" t="s">
        <v>25</v>
      </c>
      <c r="F53" s="26">
        <f>IF(E53='Tablas AR'!$B$4,1,IF('Análisis de Riesgos'!E53='Tablas AR'!$B$5,2,IF('Análisis de Riesgos'!E53='Tablas AR'!$B$6,3,"")))</f>
        <v>1</v>
      </c>
      <c r="G53" s="25" t="s">
        <v>26</v>
      </c>
      <c r="H53" s="26">
        <f>IF(G53='Tablas AR'!$B$10,1,IF('Análisis de Riesgos'!G53='Tablas AR'!$B$11,2,IF('Análisis de Riesgos'!G53='Tablas AR'!$B$12,3,"")))</f>
        <v>2</v>
      </c>
      <c r="I53" s="26">
        <f t="shared" si="0"/>
        <v>2</v>
      </c>
    </row>
    <row r="54" spans="2:9" ht="60" x14ac:dyDescent="0.25">
      <c r="B54" s="27" t="str">
        <f>IFERROR(INDEX(Activos!$B$3:$C$16, MATCH(C54,Activos!$B$3:$B$16),2),"")</f>
        <v>soluciones tecnológicas gratuitas para la gestión empresarial como correo electrónico, CRM e incluso herramientas colaborativas o de almacenamiento cloud</v>
      </c>
      <c r="C54" s="27" t="s">
        <v>89</v>
      </c>
      <c r="D54" s="27" t="s">
        <v>52</v>
      </c>
      <c r="E54" s="25" t="s">
        <v>26</v>
      </c>
      <c r="F54" s="26">
        <f>IF(E54='Tablas AR'!$B$4,1,IF('Análisis de Riesgos'!E54='Tablas AR'!$B$5,2,IF('Análisis de Riesgos'!E54='Tablas AR'!$B$6,3,"")))</f>
        <v>2</v>
      </c>
      <c r="G54" s="25" t="s">
        <v>26</v>
      </c>
      <c r="H54" s="26">
        <f>IF(G54='Tablas AR'!$B$10,1,IF('Análisis de Riesgos'!G54='Tablas AR'!$B$11,2,IF('Análisis de Riesgos'!G54='Tablas AR'!$B$12,3,"")))</f>
        <v>2</v>
      </c>
      <c r="I54" s="26">
        <f t="shared" si="0"/>
        <v>4</v>
      </c>
    </row>
    <row r="55" spans="2:9" ht="60" x14ac:dyDescent="0.25">
      <c r="B55" s="27" t="str">
        <f>IFERROR(INDEX(Activos!$B$3:$C$16, MATCH(C55,Activos!$B$3:$B$16),2),"")</f>
        <v>soluciones tecnológicas gratuitas para la gestión empresarial como correo electrónico, CRM e incluso herramientas colaborativas o de almacenamiento cloud</v>
      </c>
      <c r="C55" s="27" t="s">
        <v>89</v>
      </c>
      <c r="D55" s="27" t="s">
        <v>53</v>
      </c>
      <c r="E55" s="25" t="s">
        <v>25</v>
      </c>
      <c r="F55" s="26">
        <f>IF(E55='Tablas AR'!$B$4,1,IF('Análisis de Riesgos'!E55='Tablas AR'!$B$5,2,IF('Análisis de Riesgos'!E55='Tablas AR'!$B$6,3,"")))</f>
        <v>1</v>
      </c>
      <c r="G55" s="25" t="s">
        <v>27</v>
      </c>
      <c r="H55" s="26">
        <f>IF(G55='Tablas AR'!$B$10,1,IF('Análisis de Riesgos'!G55='Tablas AR'!$B$11,2,IF('Análisis de Riesgos'!G55='Tablas AR'!$B$12,3,"")))</f>
        <v>3</v>
      </c>
      <c r="I55" s="26">
        <f t="shared" si="0"/>
        <v>3</v>
      </c>
    </row>
    <row r="56" spans="2:9" ht="60" x14ac:dyDescent="0.25">
      <c r="B56" s="27" t="str">
        <f>IFERROR(INDEX(Activos!$B$3:$C$16, MATCH(C56,Activos!$B$3:$B$16),2),"")</f>
        <v>soluciones tecnológicas gratuitas para la gestión empresarial como correo electrónico, CRM e incluso herramientas colaborativas o de almacenamiento cloud</v>
      </c>
      <c r="C56" s="27" t="s">
        <v>89</v>
      </c>
      <c r="D56" s="27" t="s">
        <v>54</v>
      </c>
      <c r="E56" s="25" t="s">
        <v>26</v>
      </c>
      <c r="F56" s="26">
        <f>IF(E56='Tablas AR'!$B$4,1,IF('Análisis de Riesgos'!E56='Tablas AR'!$B$5,2,IF('Análisis de Riesgos'!E56='Tablas AR'!$B$6,3,"")))</f>
        <v>2</v>
      </c>
      <c r="G56" s="25" t="s">
        <v>26</v>
      </c>
      <c r="H56" s="26">
        <f>IF(G56='Tablas AR'!$B$10,1,IF('Análisis de Riesgos'!G56='Tablas AR'!$B$11,2,IF('Análisis de Riesgos'!G56='Tablas AR'!$B$12,3,"")))</f>
        <v>2</v>
      </c>
      <c r="I56" s="26">
        <f t="shared" si="0"/>
        <v>4</v>
      </c>
    </row>
    <row r="57" spans="2:9" ht="60" x14ac:dyDescent="0.25">
      <c r="B57" s="27" t="str">
        <f>IFERROR(INDEX(Activos!$B$3:$C$16, MATCH(C57,Activos!$B$3:$B$16),2),"")</f>
        <v>soluciones tecnológicas gratuitas para la gestión empresarial como correo electrónico, CRM e incluso herramientas colaborativas o de almacenamiento cloud</v>
      </c>
      <c r="C57" s="27" t="s">
        <v>89</v>
      </c>
      <c r="D57" s="27" t="s">
        <v>37</v>
      </c>
      <c r="E57" s="25" t="s">
        <v>26</v>
      </c>
      <c r="F57" s="26">
        <f>IF(E57='Tablas AR'!$B$4,1,IF('Análisis de Riesgos'!E57='Tablas AR'!$B$5,2,IF('Análisis de Riesgos'!E57='Tablas AR'!$B$6,3,"")))</f>
        <v>2</v>
      </c>
      <c r="G57" s="25" t="s">
        <v>26</v>
      </c>
      <c r="H57" s="26">
        <f>IF(G57='Tablas AR'!$B$10,1,IF('Análisis de Riesgos'!G57='Tablas AR'!$B$11,2,IF('Análisis de Riesgos'!G57='Tablas AR'!$B$12,3,"")))</f>
        <v>2</v>
      </c>
      <c r="I57" s="26">
        <f t="shared" si="0"/>
        <v>4</v>
      </c>
    </row>
    <row r="58" spans="2:9" ht="60" x14ac:dyDescent="0.25">
      <c r="B58" s="27" t="str">
        <f>IFERROR(INDEX(Activos!$B$3:$C$16, MATCH(C58,Activos!$B$3:$B$16),2),"")</f>
        <v>soluciones tecnológicas gratuitas para la gestión empresarial como correo electrónico, CRM e incluso herramientas colaborativas o de almacenamiento cloud</v>
      </c>
      <c r="C58" s="27" t="s">
        <v>89</v>
      </c>
      <c r="D58" s="27" t="s">
        <v>38</v>
      </c>
      <c r="E58" s="25" t="s">
        <v>25</v>
      </c>
      <c r="F58" s="26">
        <f>IF(E58='Tablas AR'!$B$4,1,IF('Análisis de Riesgos'!E58='Tablas AR'!$B$5,2,IF('Análisis de Riesgos'!E58='Tablas AR'!$B$6,3,"")))</f>
        <v>1</v>
      </c>
      <c r="G58" s="25" t="s">
        <v>27</v>
      </c>
      <c r="H58" s="26">
        <f>IF(G58='Tablas AR'!$B$10,1,IF('Análisis de Riesgos'!G58='Tablas AR'!$B$11,2,IF('Análisis de Riesgos'!G58='Tablas AR'!$B$12,3,"")))</f>
        <v>3</v>
      </c>
      <c r="I58" s="26">
        <f t="shared" si="0"/>
        <v>3</v>
      </c>
    </row>
    <row r="59" spans="2:9" ht="60" x14ac:dyDescent="0.25">
      <c r="B59" s="27" t="str">
        <f>IFERROR(INDEX(Activos!$B$3:$C$16, MATCH(C59,Activos!$B$3:$B$16),2),"")</f>
        <v>soluciones tecnológicas gratuitas para la gestión empresarial como correo electrónico, CRM e incluso herramientas colaborativas o de almacenamiento cloud</v>
      </c>
      <c r="C59" s="27" t="s">
        <v>89</v>
      </c>
      <c r="D59" s="27" t="s">
        <v>39</v>
      </c>
      <c r="E59" s="25" t="s">
        <v>25</v>
      </c>
      <c r="F59" s="26">
        <f>IF(E59='Tablas AR'!$B$4,1,IF('Análisis de Riesgos'!E59='Tablas AR'!$B$5,2,IF('Análisis de Riesgos'!E59='Tablas AR'!$B$6,3,"")))</f>
        <v>1</v>
      </c>
      <c r="G59" s="25" t="s">
        <v>26</v>
      </c>
      <c r="H59" s="26">
        <f>IF(G59='Tablas AR'!$B$10,1,IF('Análisis de Riesgos'!G59='Tablas AR'!$B$11,2,IF('Análisis de Riesgos'!G59='Tablas AR'!$B$12,3,"")))</f>
        <v>2</v>
      </c>
      <c r="I59" s="26">
        <f t="shared" si="0"/>
        <v>2</v>
      </c>
    </row>
    <row r="60" spans="2:9" ht="60" x14ac:dyDescent="0.25">
      <c r="B60" s="27" t="str">
        <f>IFERROR(INDEX(Activos!$B$3:$C$16, MATCH(C60,Activos!$B$3:$B$16),2),"")</f>
        <v>soluciones tecnológicas gratuitas para la gestión empresarial como correo electrónico, CRM e incluso herramientas colaborativas o de almacenamiento cloud</v>
      </c>
      <c r="C60" s="27" t="s">
        <v>89</v>
      </c>
      <c r="D60" s="27" t="s">
        <v>55</v>
      </c>
      <c r="E60" s="25" t="s">
        <v>25</v>
      </c>
      <c r="F60" s="26">
        <f>IF(E60='Tablas AR'!$B$4,1,IF('Análisis de Riesgos'!E60='Tablas AR'!$B$5,2,IF('Análisis de Riesgos'!E60='Tablas AR'!$B$6,3,"")))</f>
        <v>1</v>
      </c>
      <c r="G60" s="25" t="s">
        <v>27</v>
      </c>
      <c r="H60" s="26">
        <f>IF(G60='Tablas AR'!$B$10,1,IF('Análisis de Riesgos'!G60='Tablas AR'!$B$11,2,IF('Análisis de Riesgos'!G60='Tablas AR'!$B$12,3,"")))</f>
        <v>3</v>
      </c>
      <c r="I60" s="26">
        <f t="shared" si="0"/>
        <v>3</v>
      </c>
    </row>
    <row r="61" spans="2:9" ht="60" x14ac:dyDescent="0.25">
      <c r="B61" s="27" t="str">
        <f>IFERROR(INDEX(Activos!$B$3:$C$16, MATCH(C61,Activos!$B$3:$B$16),2),"")</f>
        <v>soluciones tecnológicas gratuitas para la gestión empresarial como correo electrónico, CRM e incluso herramientas colaborativas o de almacenamiento cloud</v>
      </c>
      <c r="C61" s="27" t="s">
        <v>89</v>
      </c>
      <c r="D61" s="27" t="s">
        <v>52</v>
      </c>
      <c r="E61" s="25" t="s">
        <v>26</v>
      </c>
      <c r="F61" s="26">
        <f>IF(E61='Tablas AR'!$B$4,1,IF('Análisis de Riesgos'!E61='Tablas AR'!$B$5,2,IF('Análisis de Riesgos'!E61='Tablas AR'!$B$6,3,"")))</f>
        <v>2</v>
      </c>
      <c r="G61" s="25" t="s">
        <v>26</v>
      </c>
      <c r="H61" s="26">
        <f>IF(G61='Tablas AR'!$B$10,1,IF('Análisis de Riesgos'!G61='Tablas AR'!$B$11,2,IF('Análisis de Riesgos'!G61='Tablas AR'!$B$12,3,"")))</f>
        <v>2</v>
      </c>
      <c r="I61" s="26">
        <f t="shared" si="0"/>
        <v>4</v>
      </c>
    </row>
    <row r="62" spans="2:9" ht="60" x14ac:dyDescent="0.25">
      <c r="B62" s="27" t="str">
        <f>IFERROR(INDEX(Activos!$B$3:$C$16, MATCH(C62,Activos!$B$3:$B$16),2),"")</f>
        <v>soluciones tecnológicas gratuitas para la gestión empresarial como correo electrónico, CRM e incluso herramientas colaborativas o de almacenamiento cloud</v>
      </c>
      <c r="C62" s="27" t="s">
        <v>89</v>
      </c>
      <c r="D62" s="27" t="s">
        <v>58</v>
      </c>
      <c r="E62" s="25" t="s">
        <v>26</v>
      </c>
      <c r="F62" s="26">
        <f>IF(E62='Tablas AR'!$B$4,1,IF('Análisis de Riesgos'!E62='Tablas AR'!$B$5,2,IF('Análisis de Riesgos'!E62='Tablas AR'!$B$6,3,"")))</f>
        <v>2</v>
      </c>
      <c r="G62" s="25" t="s">
        <v>26</v>
      </c>
      <c r="H62" s="26">
        <f>IF(G62='Tablas AR'!$B$10,1,IF('Análisis de Riesgos'!G62='Tablas AR'!$B$11,2,IF('Análisis de Riesgos'!G62='Tablas AR'!$B$12,3,"")))</f>
        <v>2</v>
      </c>
      <c r="I62" s="26">
        <f t="shared" si="0"/>
        <v>4</v>
      </c>
    </row>
    <row r="63" spans="2:9" ht="30" x14ac:dyDescent="0.25">
      <c r="B63" s="27" t="str">
        <f>IFERROR(INDEX(Activos!$B$3:$C$16, MATCH(C63,Activos!$B$3:$B$16),2),"")</f>
        <v xml:space="preserve">ordenadores e incluso algún servidor (web, correo electrónico,…) </v>
      </c>
      <c r="C63" s="27" t="s">
        <v>85</v>
      </c>
      <c r="D63" s="27" t="s">
        <v>29</v>
      </c>
      <c r="E63" s="25" t="s">
        <v>25</v>
      </c>
      <c r="F63" s="26">
        <f>IF(E63='Tablas AR'!$B$4,1,IF('Análisis de Riesgos'!E63='Tablas AR'!$B$5,2,IF('Análisis de Riesgos'!E63='Tablas AR'!$B$6,3,"")))</f>
        <v>1</v>
      </c>
      <c r="G63" s="25" t="s">
        <v>27</v>
      </c>
      <c r="H63" s="26">
        <f>IF(G63='Tablas AR'!$B$10,1,IF('Análisis de Riesgos'!G63='Tablas AR'!$B$11,2,IF('Análisis de Riesgos'!G63='Tablas AR'!$B$12,3,"")))</f>
        <v>3</v>
      </c>
      <c r="I63" s="26">
        <f t="shared" si="0"/>
        <v>3</v>
      </c>
    </row>
    <row r="64" spans="2:9" ht="30" x14ac:dyDescent="0.25">
      <c r="B64" s="27" t="str">
        <f>IFERROR(INDEX(Activos!$B$3:$C$16, MATCH(C64,Activos!$B$3:$B$16),2),"")</f>
        <v xml:space="preserve">ordenadores e incluso algún servidor (web, correo electrónico,…) </v>
      </c>
      <c r="C64" s="27" t="s">
        <v>85</v>
      </c>
      <c r="D64" s="27" t="s">
        <v>30</v>
      </c>
      <c r="E64" s="25" t="s">
        <v>25</v>
      </c>
      <c r="F64" s="26">
        <f>IF(E64='Tablas AR'!$B$4,1,IF('Análisis de Riesgos'!E64='Tablas AR'!$B$5,2,IF('Análisis de Riesgos'!E64='Tablas AR'!$B$6,3,"")))</f>
        <v>1</v>
      </c>
      <c r="G64" s="25" t="s">
        <v>27</v>
      </c>
      <c r="H64" s="26">
        <f>IF(G64='Tablas AR'!$B$10,1,IF('Análisis de Riesgos'!G64='Tablas AR'!$B$11,2,IF('Análisis de Riesgos'!G64='Tablas AR'!$B$12,3,"")))</f>
        <v>3</v>
      </c>
      <c r="I64" s="26">
        <f t="shared" si="0"/>
        <v>3</v>
      </c>
    </row>
    <row r="65" spans="2:9" ht="30" x14ac:dyDescent="0.25">
      <c r="B65" s="27" t="str">
        <f>IFERROR(INDEX(Activos!$B$3:$C$16, MATCH(C65,Activos!$B$3:$B$16),2),"")</f>
        <v xml:space="preserve">ordenadores e incluso algún servidor (web, correo electrónico,…) </v>
      </c>
      <c r="C65" s="27" t="s">
        <v>85</v>
      </c>
      <c r="D65" s="27" t="s">
        <v>31</v>
      </c>
      <c r="E65" s="25" t="s">
        <v>25</v>
      </c>
      <c r="F65" s="26">
        <f>IF(E65='Tablas AR'!$B$4,1,IF('Análisis de Riesgos'!E65='Tablas AR'!$B$5,2,IF('Análisis de Riesgos'!E65='Tablas AR'!$B$6,3,"")))</f>
        <v>1</v>
      </c>
      <c r="G65" s="25" t="s">
        <v>26</v>
      </c>
      <c r="H65" s="26">
        <f>IF(G65='Tablas AR'!$B$10,1,IF('Análisis de Riesgos'!G65='Tablas AR'!$B$11,2,IF('Análisis de Riesgos'!G65='Tablas AR'!$B$12,3,"")))</f>
        <v>2</v>
      </c>
      <c r="I65" s="26">
        <f t="shared" si="0"/>
        <v>2</v>
      </c>
    </row>
    <row r="66" spans="2:9" ht="30" x14ac:dyDescent="0.25">
      <c r="B66" s="27" t="str">
        <f>IFERROR(INDEX(Activos!$B$3:$C$16, MATCH(C66,Activos!$B$3:$B$16),2),"")</f>
        <v xml:space="preserve">ordenadores e incluso algún servidor (web, correo electrónico,…) </v>
      </c>
      <c r="C66" s="27" t="s">
        <v>85</v>
      </c>
      <c r="D66" s="27" t="s">
        <v>40</v>
      </c>
      <c r="E66" s="25" t="s">
        <v>26</v>
      </c>
      <c r="F66" s="26">
        <f>IF(E66='Tablas AR'!$B$4,1,IF('Análisis de Riesgos'!E66='Tablas AR'!$B$5,2,IF('Análisis de Riesgos'!E66='Tablas AR'!$B$6,3,"")))</f>
        <v>2</v>
      </c>
      <c r="G66" s="25" t="s">
        <v>26</v>
      </c>
      <c r="H66" s="26">
        <f>IF(G66='Tablas AR'!$B$10,1,IF('Análisis de Riesgos'!G66='Tablas AR'!$B$11,2,IF('Análisis de Riesgos'!G66='Tablas AR'!$B$12,3,"")))</f>
        <v>2</v>
      </c>
      <c r="I66" s="26">
        <f t="shared" si="0"/>
        <v>4</v>
      </c>
    </row>
    <row r="67" spans="2:9" ht="30" x14ac:dyDescent="0.25">
      <c r="B67" s="27" t="str">
        <f>IFERROR(INDEX(Activos!$B$3:$C$16, MATCH(C67,Activos!$B$3:$B$16),2),"")</f>
        <v xml:space="preserve">ordenadores e incluso algún servidor (web, correo electrónico,…) </v>
      </c>
      <c r="C67" s="27" t="s">
        <v>85</v>
      </c>
      <c r="D67" s="27" t="s">
        <v>41</v>
      </c>
      <c r="E67" s="25" t="s">
        <v>25</v>
      </c>
      <c r="F67" s="26">
        <f>IF(E67='Tablas AR'!$B$4,1,IF('Análisis de Riesgos'!E67='Tablas AR'!$B$5,2,IF('Análisis de Riesgos'!E67='Tablas AR'!$B$6,3,"")))</f>
        <v>1</v>
      </c>
      <c r="G67" s="25" t="s">
        <v>26</v>
      </c>
      <c r="H67" s="26">
        <f>IF(G67='Tablas AR'!$B$10,1,IF('Análisis de Riesgos'!G67='Tablas AR'!$B$11,2,IF('Análisis de Riesgos'!G67='Tablas AR'!$B$12,3,"")))</f>
        <v>2</v>
      </c>
      <c r="I67" s="26">
        <f t="shared" si="0"/>
        <v>2</v>
      </c>
    </row>
    <row r="68" spans="2:9" ht="30" x14ac:dyDescent="0.25">
      <c r="B68" s="27" t="str">
        <f>IFERROR(INDEX(Activos!$B$3:$C$16, MATCH(C68,Activos!$B$3:$B$16),2),"")</f>
        <v xml:space="preserve">ordenadores e incluso algún servidor (web, correo electrónico,…) </v>
      </c>
      <c r="C68" s="27" t="s">
        <v>85</v>
      </c>
      <c r="D68" s="27" t="s">
        <v>42</v>
      </c>
      <c r="E68" s="25" t="s">
        <v>25</v>
      </c>
      <c r="F68" s="26">
        <f>IF(E68='Tablas AR'!$B$4,1,IF('Análisis de Riesgos'!E68='Tablas AR'!$B$5,2,IF('Análisis de Riesgos'!E68='Tablas AR'!$B$6,3,"")))</f>
        <v>1</v>
      </c>
      <c r="G68" s="25" t="s">
        <v>26</v>
      </c>
      <c r="H68" s="26">
        <f>IF(G68='Tablas AR'!$B$10,1,IF('Análisis de Riesgos'!G68='Tablas AR'!$B$11,2,IF('Análisis de Riesgos'!G68='Tablas AR'!$B$12,3,"")))</f>
        <v>2</v>
      </c>
      <c r="I68" s="26">
        <f t="shared" ref="I68:I131" si="1" xml:space="preserve"> IFERROR(F68*H68,"")</f>
        <v>2</v>
      </c>
    </row>
    <row r="69" spans="2:9" ht="30" x14ac:dyDescent="0.25">
      <c r="B69" s="27" t="str">
        <f>IFERROR(INDEX(Activos!$B$3:$C$16, MATCH(C69,Activos!$B$3:$B$16),2),"")</f>
        <v xml:space="preserve">ordenadores e incluso algún servidor (web, correo electrónico,…) </v>
      </c>
      <c r="C69" s="27" t="s">
        <v>85</v>
      </c>
      <c r="D69" s="27" t="s">
        <v>43</v>
      </c>
      <c r="E69" s="25" t="s">
        <v>25</v>
      </c>
      <c r="F69" s="26">
        <f>IF(E69='Tablas AR'!$B$4,1,IF('Análisis de Riesgos'!E69='Tablas AR'!$B$5,2,IF('Análisis de Riesgos'!E69='Tablas AR'!$B$6,3,"")))</f>
        <v>1</v>
      </c>
      <c r="G69" s="25" t="s">
        <v>27</v>
      </c>
      <c r="H69" s="26">
        <f>IF(G69='Tablas AR'!$B$10,1,IF('Análisis de Riesgos'!G69='Tablas AR'!$B$11,2,IF('Análisis de Riesgos'!G69='Tablas AR'!$B$12,3,"")))</f>
        <v>3</v>
      </c>
      <c r="I69" s="26">
        <f t="shared" si="1"/>
        <v>3</v>
      </c>
    </row>
    <row r="70" spans="2:9" ht="30" x14ac:dyDescent="0.25">
      <c r="B70" s="27" t="str">
        <f>IFERROR(INDEX(Activos!$B$3:$C$16, MATCH(C70,Activos!$B$3:$B$16),2),"")</f>
        <v xml:space="preserve">ordenadores e incluso algún servidor (web, correo electrónico,…) </v>
      </c>
      <c r="C70" s="27" t="s">
        <v>85</v>
      </c>
      <c r="D70" s="27" t="s">
        <v>44</v>
      </c>
      <c r="E70" s="25" t="s">
        <v>26</v>
      </c>
      <c r="F70" s="26">
        <f>IF(E70='Tablas AR'!$B$4,1,IF('Análisis de Riesgos'!E70='Tablas AR'!$B$5,2,IF('Análisis de Riesgos'!E70='Tablas AR'!$B$6,3,"")))</f>
        <v>2</v>
      </c>
      <c r="G70" s="25" t="s">
        <v>27</v>
      </c>
      <c r="H70" s="26">
        <f>IF(G70='Tablas AR'!$B$10,1,IF('Análisis de Riesgos'!G70='Tablas AR'!$B$11,2,IF('Análisis de Riesgos'!G70='Tablas AR'!$B$12,3,"")))</f>
        <v>3</v>
      </c>
      <c r="I70" s="26">
        <f t="shared" si="1"/>
        <v>6</v>
      </c>
    </row>
    <row r="71" spans="2:9" ht="30" x14ac:dyDescent="0.25">
      <c r="B71" s="27" t="str">
        <f>IFERROR(INDEX(Activos!$B$3:$C$16, MATCH(C71,Activos!$B$3:$B$16),2),"")</f>
        <v xml:space="preserve">ordenadores e incluso algún servidor (web, correo electrónico,…) </v>
      </c>
      <c r="C71" s="27" t="s">
        <v>85</v>
      </c>
      <c r="D71" s="27" t="s">
        <v>45</v>
      </c>
      <c r="E71" s="25" t="s">
        <v>25</v>
      </c>
      <c r="F71" s="26">
        <f>IF(E71='Tablas AR'!$B$4,1,IF('Análisis de Riesgos'!E71='Tablas AR'!$B$5,2,IF('Análisis de Riesgos'!E71='Tablas AR'!$B$6,3,"")))</f>
        <v>1</v>
      </c>
      <c r="G71" s="25" t="s">
        <v>26</v>
      </c>
      <c r="H71" s="26">
        <f>IF(G71='Tablas AR'!$B$10,1,IF('Análisis de Riesgos'!G71='Tablas AR'!$B$11,2,IF('Análisis de Riesgos'!G71='Tablas AR'!$B$12,3,"")))</f>
        <v>2</v>
      </c>
      <c r="I71" s="26">
        <f t="shared" si="1"/>
        <v>2</v>
      </c>
    </row>
    <row r="72" spans="2:9" ht="30" x14ac:dyDescent="0.25">
      <c r="B72" s="27" t="str">
        <f>IFERROR(INDEX(Activos!$B$3:$C$16, MATCH(C72,Activos!$B$3:$B$16),2),"")</f>
        <v xml:space="preserve">ordenadores e incluso algún servidor (web, correo electrónico,…) </v>
      </c>
      <c r="C72" s="27" t="s">
        <v>85</v>
      </c>
      <c r="D72" s="27" t="s">
        <v>32</v>
      </c>
      <c r="E72" s="25" t="s">
        <v>25</v>
      </c>
      <c r="F72" s="26">
        <f>IF(E72='Tablas AR'!$B$4,1,IF('Análisis de Riesgos'!E72='Tablas AR'!$B$5,2,IF('Análisis de Riesgos'!E72='Tablas AR'!$B$6,3,"")))</f>
        <v>1</v>
      </c>
      <c r="G72" s="25" t="s">
        <v>26</v>
      </c>
      <c r="H72" s="26">
        <f>IF(G72='Tablas AR'!$B$10,1,IF('Análisis de Riesgos'!G72='Tablas AR'!$B$11,2,IF('Análisis de Riesgos'!G72='Tablas AR'!$B$12,3,"")))</f>
        <v>2</v>
      </c>
      <c r="I72" s="26">
        <f t="shared" si="1"/>
        <v>2</v>
      </c>
    </row>
    <row r="73" spans="2:9" ht="30" x14ac:dyDescent="0.25">
      <c r="B73" s="27" t="str">
        <f>IFERROR(INDEX(Activos!$B$3:$C$16, MATCH(C73,Activos!$B$3:$B$16),2),"")</f>
        <v xml:space="preserve">ordenadores e incluso algún servidor (web, correo electrónico,…) </v>
      </c>
      <c r="C73" s="27" t="s">
        <v>85</v>
      </c>
      <c r="D73" s="27" t="s">
        <v>34</v>
      </c>
      <c r="E73" s="25" t="s">
        <v>25</v>
      </c>
      <c r="F73" s="26">
        <f>IF(E73='Tablas AR'!$B$4,1,IF('Análisis de Riesgos'!E73='Tablas AR'!$B$5,2,IF('Análisis de Riesgos'!E73='Tablas AR'!$B$6,3,"")))</f>
        <v>1</v>
      </c>
      <c r="G73" s="25" t="s">
        <v>26</v>
      </c>
      <c r="H73" s="26">
        <f>IF(G73='Tablas AR'!$B$10,1,IF('Análisis de Riesgos'!G73='Tablas AR'!$B$11,2,IF('Análisis de Riesgos'!G73='Tablas AR'!$B$12,3,"")))</f>
        <v>2</v>
      </c>
      <c r="I73" s="26">
        <f t="shared" si="1"/>
        <v>2</v>
      </c>
    </row>
    <row r="74" spans="2:9" ht="30" x14ac:dyDescent="0.25">
      <c r="B74" s="27" t="str">
        <f>IFERROR(INDEX(Activos!$B$3:$C$16, MATCH(C74,Activos!$B$3:$B$16),2),"")</f>
        <v xml:space="preserve">ordenadores e incluso algún servidor (web, correo electrónico,…) </v>
      </c>
      <c r="C74" s="27" t="s">
        <v>85</v>
      </c>
      <c r="D74" s="27" t="s">
        <v>46</v>
      </c>
      <c r="E74" s="25" t="s">
        <v>25</v>
      </c>
      <c r="F74" s="26">
        <f>IF(E74='Tablas AR'!$B$4,1,IF('Análisis de Riesgos'!E74='Tablas AR'!$B$5,2,IF('Análisis de Riesgos'!E74='Tablas AR'!$B$6,3,"")))</f>
        <v>1</v>
      </c>
      <c r="G74" s="25" t="s">
        <v>27</v>
      </c>
      <c r="H74" s="26">
        <f>IF(G74='Tablas AR'!$B$10,1,IF('Análisis de Riesgos'!G74='Tablas AR'!$B$11,2,IF('Análisis de Riesgos'!G74='Tablas AR'!$B$12,3,"")))</f>
        <v>3</v>
      </c>
      <c r="I74" s="26">
        <f t="shared" si="1"/>
        <v>3</v>
      </c>
    </row>
    <row r="75" spans="2:9" ht="30" x14ac:dyDescent="0.25">
      <c r="B75" s="27" t="str">
        <f>IFERROR(INDEX(Activos!$B$3:$C$16, MATCH(C75,Activos!$B$3:$B$16),2),"")</f>
        <v xml:space="preserve">ordenadores e incluso algún servidor (web, correo electrónico,…) </v>
      </c>
      <c r="C75" s="27" t="s">
        <v>85</v>
      </c>
      <c r="D75" s="27" t="s">
        <v>47</v>
      </c>
      <c r="E75" s="25" t="s">
        <v>25</v>
      </c>
      <c r="F75" s="26">
        <f>IF(E75='Tablas AR'!$B$4,1,IF('Análisis de Riesgos'!E75='Tablas AR'!$B$5,2,IF('Análisis de Riesgos'!E75='Tablas AR'!$B$6,3,"")))</f>
        <v>1</v>
      </c>
      <c r="G75" s="25" t="s">
        <v>26</v>
      </c>
      <c r="H75" s="26">
        <f>IF(G75='Tablas AR'!$B$10,1,IF('Análisis de Riesgos'!G75='Tablas AR'!$B$11,2,IF('Análisis de Riesgos'!G75='Tablas AR'!$B$12,3,"")))</f>
        <v>2</v>
      </c>
      <c r="I75" s="26">
        <f t="shared" si="1"/>
        <v>2</v>
      </c>
    </row>
    <row r="76" spans="2:9" ht="30" x14ac:dyDescent="0.25">
      <c r="B76" s="27" t="str">
        <f>IFERROR(INDEX(Activos!$B$3:$C$16, MATCH(C76,Activos!$B$3:$B$16),2),"")</f>
        <v xml:space="preserve">ordenadores e incluso algún servidor (web, correo electrónico,…) </v>
      </c>
      <c r="C76" s="27" t="s">
        <v>85</v>
      </c>
      <c r="D76" s="27" t="s">
        <v>48</v>
      </c>
      <c r="E76" s="25" t="s">
        <v>26</v>
      </c>
      <c r="F76" s="26">
        <f>IF(E76='Tablas AR'!$B$4,1,IF('Análisis de Riesgos'!E76='Tablas AR'!$B$5,2,IF('Análisis de Riesgos'!E76='Tablas AR'!$B$6,3,"")))</f>
        <v>2</v>
      </c>
      <c r="G76" s="25" t="s">
        <v>26</v>
      </c>
      <c r="H76" s="26">
        <f>IF(G76='Tablas AR'!$B$10,1,IF('Análisis de Riesgos'!G76='Tablas AR'!$B$11,2,IF('Análisis de Riesgos'!G76='Tablas AR'!$B$12,3,"")))</f>
        <v>2</v>
      </c>
      <c r="I76" s="26">
        <f t="shared" si="1"/>
        <v>4</v>
      </c>
    </row>
    <row r="77" spans="2:9" ht="30" x14ac:dyDescent="0.25">
      <c r="B77" s="27" t="str">
        <f>IFERROR(INDEX(Activos!$B$3:$C$16, MATCH(C77,Activos!$B$3:$B$16),2),"")</f>
        <v xml:space="preserve">ordenadores e incluso algún servidor (web, correo electrónico,…) </v>
      </c>
      <c r="C77" s="27" t="s">
        <v>85</v>
      </c>
      <c r="D77" s="27" t="s">
        <v>49</v>
      </c>
      <c r="E77" s="25" t="s">
        <v>25</v>
      </c>
      <c r="F77" s="26">
        <f>IF(E77='Tablas AR'!$B$4,1,IF('Análisis de Riesgos'!E77='Tablas AR'!$B$5,2,IF('Análisis de Riesgos'!E77='Tablas AR'!$B$6,3,"")))</f>
        <v>1</v>
      </c>
      <c r="G77" s="25" t="s">
        <v>26</v>
      </c>
      <c r="H77" s="26">
        <f>IF(G77='Tablas AR'!$B$10,1,IF('Análisis de Riesgos'!G77='Tablas AR'!$B$11,2,IF('Análisis de Riesgos'!G77='Tablas AR'!$B$12,3,"")))</f>
        <v>2</v>
      </c>
      <c r="I77" s="26">
        <f t="shared" si="1"/>
        <v>2</v>
      </c>
    </row>
    <row r="78" spans="2:9" ht="30" x14ac:dyDescent="0.25">
      <c r="B78" s="27" t="str">
        <f>IFERROR(INDEX(Activos!$B$3:$C$16, MATCH(C78,Activos!$B$3:$B$16),2),"")</f>
        <v xml:space="preserve">ordenadores e incluso algún servidor (web, correo electrónico,…) </v>
      </c>
      <c r="C78" s="27" t="s">
        <v>85</v>
      </c>
      <c r="D78" s="27" t="s">
        <v>50</v>
      </c>
      <c r="E78" s="25" t="s">
        <v>26</v>
      </c>
      <c r="F78" s="26">
        <f>IF(E78='Tablas AR'!$B$4,1,IF('Análisis de Riesgos'!E78='Tablas AR'!$B$5,2,IF('Análisis de Riesgos'!E78='Tablas AR'!$B$6,3,"")))</f>
        <v>2</v>
      </c>
      <c r="G78" s="25" t="s">
        <v>26</v>
      </c>
      <c r="H78" s="26">
        <f>IF(G78='Tablas AR'!$B$10,1,IF('Análisis de Riesgos'!G78='Tablas AR'!$B$11,2,IF('Análisis de Riesgos'!G78='Tablas AR'!$B$12,3,"")))</f>
        <v>2</v>
      </c>
      <c r="I78" s="26">
        <f t="shared" si="1"/>
        <v>4</v>
      </c>
    </row>
    <row r="79" spans="2:9" ht="30" x14ac:dyDescent="0.25">
      <c r="B79" s="27" t="str">
        <f>IFERROR(INDEX(Activos!$B$3:$C$16, MATCH(C79,Activos!$B$3:$B$16),2),"")</f>
        <v xml:space="preserve">ordenadores e incluso algún servidor (web, correo electrónico,…) </v>
      </c>
      <c r="C79" s="27" t="s">
        <v>85</v>
      </c>
      <c r="D79" s="27" t="s">
        <v>51</v>
      </c>
      <c r="E79" s="25" t="s">
        <v>25</v>
      </c>
      <c r="F79" s="26">
        <f>IF(E79='Tablas AR'!$B$4,1,IF('Análisis de Riesgos'!E79='Tablas AR'!$B$5,2,IF('Análisis de Riesgos'!E79='Tablas AR'!$B$6,3,"")))</f>
        <v>1</v>
      </c>
      <c r="G79" s="25" t="s">
        <v>26</v>
      </c>
      <c r="H79" s="26">
        <f>IF(G79='Tablas AR'!$B$10,1,IF('Análisis de Riesgos'!G79='Tablas AR'!$B$11,2,IF('Análisis de Riesgos'!G79='Tablas AR'!$B$12,3,"")))</f>
        <v>2</v>
      </c>
      <c r="I79" s="26">
        <f t="shared" si="1"/>
        <v>2</v>
      </c>
    </row>
    <row r="80" spans="2:9" ht="30" x14ac:dyDescent="0.25">
      <c r="B80" s="27" t="str">
        <f>IFERROR(INDEX(Activos!$B$3:$C$16, MATCH(C80,Activos!$B$3:$B$16),2),"")</f>
        <v xml:space="preserve">ordenadores e incluso algún servidor (web, correo electrónico,…) </v>
      </c>
      <c r="C80" s="27" t="s">
        <v>85</v>
      </c>
      <c r="D80" s="27" t="s">
        <v>53</v>
      </c>
      <c r="E80" s="25" t="s">
        <v>25</v>
      </c>
      <c r="F80" s="26">
        <f>IF(E80='Tablas AR'!$B$4,1,IF('Análisis de Riesgos'!E80='Tablas AR'!$B$5,2,IF('Análisis de Riesgos'!E80='Tablas AR'!$B$6,3,"")))</f>
        <v>1</v>
      </c>
      <c r="G80" s="25" t="s">
        <v>27</v>
      </c>
      <c r="H80" s="26">
        <f>IF(G80='Tablas AR'!$B$10,1,IF('Análisis de Riesgos'!G80='Tablas AR'!$B$11,2,IF('Análisis de Riesgos'!G80='Tablas AR'!$B$12,3,"")))</f>
        <v>3</v>
      </c>
      <c r="I80" s="26">
        <f t="shared" si="1"/>
        <v>3</v>
      </c>
    </row>
    <row r="81" spans="2:9" ht="30" x14ac:dyDescent="0.25">
      <c r="B81" s="27" t="str">
        <f>IFERROR(INDEX(Activos!$B$3:$C$16, MATCH(C81,Activos!$B$3:$B$16),2),"")</f>
        <v xml:space="preserve">ordenadores e incluso algún servidor (web, correo electrónico,…) </v>
      </c>
      <c r="C81" s="27" t="s">
        <v>85</v>
      </c>
      <c r="D81" s="27" t="s">
        <v>54</v>
      </c>
      <c r="E81" s="25" t="s">
        <v>26</v>
      </c>
      <c r="F81" s="26">
        <f>IF(E81='Tablas AR'!$B$4,1,IF('Análisis de Riesgos'!E81='Tablas AR'!$B$5,2,IF('Análisis de Riesgos'!E81='Tablas AR'!$B$6,3,"")))</f>
        <v>2</v>
      </c>
      <c r="G81" s="25" t="s">
        <v>26</v>
      </c>
      <c r="H81" s="26">
        <f>IF(G81='Tablas AR'!$B$10,1,IF('Análisis de Riesgos'!G81='Tablas AR'!$B$11,2,IF('Análisis de Riesgos'!G81='Tablas AR'!$B$12,3,"")))</f>
        <v>2</v>
      </c>
      <c r="I81" s="26">
        <f t="shared" si="1"/>
        <v>4</v>
      </c>
    </row>
    <row r="82" spans="2:9" ht="30" x14ac:dyDescent="0.25">
      <c r="B82" s="27" t="str">
        <f>IFERROR(INDEX(Activos!$B$3:$C$16, MATCH(C82,Activos!$B$3:$B$16),2),"")</f>
        <v xml:space="preserve">ordenadores e incluso algún servidor (web, correo electrónico,…) </v>
      </c>
      <c r="C82" s="27" t="s">
        <v>85</v>
      </c>
      <c r="D82" s="27" t="s">
        <v>37</v>
      </c>
      <c r="E82" s="25" t="s">
        <v>26</v>
      </c>
      <c r="F82" s="26">
        <f>IF(E82='Tablas AR'!$B$4,1,IF('Análisis de Riesgos'!E82='Tablas AR'!$B$5,2,IF('Análisis de Riesgos'!E82='Tablas AR'!$B$6,3,"")))</f>
        <v>2</v>
      </c>
      <c r="G82" s="25" t="s">
        <v>26</v>
      </c>
      <c r="H82" s="26">
        <f>IF(G82='Tablas AR'!$B$10,1,IF('Análisis de Riesgos'!G82='Tablas AR'!$B$11,2,IF('Análisis de Riesgos'!G82='Tablas AR'!$B$12,3,"")))</f>
        <v>2</v>
      </c>
      <c r="I82" s="26">
        <f t="shared" si="1"/>
        <v>4</v>
      </c>
    </row>
    <row r="83" spans="2:9" ht="30" x14ac:dyDescent="0.25">
      <c r="B83" s="27" t="str">
        <f>IFERROR(INDEX(Activos!$B$3:$C$16, MATCH(C83,Activos!$B$3:$B$16),2),"")</f>
        <v xml:space="preserve">ordenadores e incluso algún servidor (web, correo electrónico,…) </v>
      </c>
      <c r="C83" s="27" t="s">
        <v>85</v>
      </c>
      <c r="D83" s="27" t="s">
        <v>38</v>
      </c>
      <c r="E83" s="25" t="s">
        <v>25</v>
      </c>
      <c r="F83" s="26">
        <f>IF(E83='Tablas AR'!$B$4,1,IF('Análisis de Riesgos'!E83='Tablas AR'!$B$5,2,IF('Análisis de Riesgos'!E83='Tablas AR'!$B$6,3,"")))</f>
        <v>1</v>
      </c>
      <c r="G83" s="25" t="s">
        <v>27</v>
      </c>
      <c r="H83" s="26">
        <f>IF(G83='Tablas AR'!$B$10,1,IF('Análisis de Riesgos'!G83='Tablas AR'!$B$11,2,IF('Análisis de Riesgos'!G83='Tablas AR'!$B$12,3,"")))</f>
        <v>3</v>
      </c>
      <c r="I83" s="26">
        <f t="shared" si="1"/>
        <v>3</v>
      </c>
    </row>
    <row r="84" spans="2:9" ht="30" x14ac:dyDescent="0.25">
      <c r="B84" s="27" t="str">
        <f>IFERROR(INDEX(Activos!$B$3:$C$16, MATCH(C84,Activos!$B$3:$B$16),2),"")</f>
        <v xml:space="preserve">ordenadores e incluso algún servidor (web, correo electrónico,…) </v>
      </c>
      <c r="C84" s="27" t="s">
        <v>85</v>
      </c>
      <c r="D84" s="27" t="s">
        <v>39</v>
      </c>
      <c r="E84" s="25" t="s">
        <v>25</v>
      </c>
      <c r="F84" s="26">
        <f>IF(E84='Tablas AR'!$B$4,1,IF('Análisis de Riesgos'!E84='Tablas AR'!$B$5,2,IF('Análisis de Riesgos'!E84='Tablas AR'!$B$6,3,"")))</f>
        <v>1</v>
      </c>
      <c r="G84" s="25" t="s">
        <v>26</v>
      </c>
      <c r="H84" s="26">
        <f>IF(G84='Tablas AR'!$B$10,1,IF('Análisis de Riesgos'!G84='Tablas AR'!$B$11,2,IF('Análisis de Riesgos'!G84='Tablas AR'!$B$12,3,"")))</f>
        <v>2</v>
      </c>
      <c r="I84" s="26">
        <f t="shared" si="1"/>
        <v>2</v>
      </c>
    </row>
    <row r="85" spans="2:9" ht="30" x14ac:dyDescent="0.25">
      <c r="B85" s="27" t="str">
        <f>IFERROR(INDEX(Activos!$B$3:$C$16, MATCH(C85,Activos!$B$3:$B$16),2),"")</f>
        <v xml:space="preserve">ordenadores e incluso algún servidor (web, correo electrónico,…) </v>
      </c>
      <c r="C85" s="27" t="s">
        <v>85</v>
      </c>
      <c r="D85" s="27" t="s">
        <v>55</v>
      </c>
      <c r="E85" s="25" t="s">
        <v>25</v>
      </c>
      <c r="F85" s="26">
        <f>IF(E85='Tablas AR'!$B$4,1,IF('Análisis de Riesgos'!E85='Tablas AR'!$B$5,2,IF('Análisis de Riesgos'!E85='Tablas AR'!$B$6,3,"")))</f>
        <v>1</v>
      </c>
      <c r="G85" s="25" t="s">
        <v>27</v>
      </c>
      <c r="H85" s="26">
        <f>IF(G85='Tablas AR'!$B$10,1,IF('Análisis de Riesgos'!G85='Tablas AR'!$B$11,2,IF('Análisis de Riesgos'!G85='Tablas AR'!$B$12,3,"")))</f>
        <v>3</v>
      </c>
      <c r="I85" s="26">
        <f t="shared" si="1"/>
        <v>3</v>
      </c>
    </row>
    <row r="86" spans="2:9" ht="30" x14ac:dyDescent="0.25">
      <c r="B86" s="27" t="str">
        <f>IFERROR(INDEX(Activos!$B$3:$C$16, MATCH(C86,Activos!$B$3:$B$16),2),"")</f>
        <v xml:space="preserve">ordenadores e incluso algún servidor (web, correo electrónico,…) </v>
      </c>
      <c r="C86" s="27" t="s">
        <v>85</v>
      </c>
      <c r="D86" s="27" t="s">
        <v>56</v>
      </c>
      <c r="E86" s="25" t="s">
        <v>25</v>
      </c>
      <c r="F86" s="26">
        <f>IF(E86='Tablas AR'!$B$4,1,IF('Análisis de Riesgos'!E86='Tablas AR'!$B$5,2,IF('Análisis de Riesgos'!E86='Tablas AR'!$B$6,3,"")))</f>
        <v>1</v>
      </c>
      <c r="G86" s="25" t="s">
        <v>26</v>
      </c>
      <c r="H86" s="26">
        <f>IF(G86='Tablas AR'!$B$10,1,IF('Análisis de Riesgos'!G86='Tablas AR'!$B$11,2,IF('Análisis de Riesgos'!G86='Tablas AR'!$B$12,3,"")))</f>
        <v>2</v>
      </c>
      <c r="I86" s="26">
        <f t="shared" si="1"/>
        <v>2</v>
      </c>
    </row>
    <row r="87" spans="2:9" ht="30" x14ac:dyDescent="0.25">
      <c r="B87" s="27" t="str">
        <f>IFERROR(INDEX(Activos!$B$3:$C$16, MATCH(C87,Activos!$B$3:$B$16),2),"")</f>
        <v>herramienta(s) comercial(es) de gestión de negocio (CRM y ERP)</v>
      </c>
      <c r="C87" s="27" t="s">
        <v>93</v>
      </c>
      <c r="D87" s="27" t="s">
        <v>40</v>
      </c>
      <c r="E87" s="25" t="s">
        <v>26</v>
      </c>
      <c r="F87" s="26">
        <f>IF(E87='Tablas AR'!$B$4,1,IF('Análisis de Riesgos'!E87='Tablas AR'!$B$5,2,IF('Análisis de Riesgos'!E87='Tablas AR'!$B$6,3,"")))</f>
        <v>2</v>
      </c>
      <c r="G87" s="25" t="s">
        <v>26</v>
      </c>
      <c r="H87" s="26">
        <f>IF(G87='Tablas AR'!$B$10,1,IF('Análisis de Riesgos'!G87='Tablas AR'!$B$11,2,IF('Análisis de Riesgos'!G87='Tablas AR'!$B$12,3,"")))</f>
        <v>2</v>
      </c>
      <c r="I87" s="26">
        <f t="shared" si="1"/>
        <v>4</v>
      </c>
    </row>
    <row r="88" spans="2:9" ht="30" x14ac:dyDescent="0.25">
      <c r="B88" s="27" t="str">
        <f>IFERROR(INDEX(Activos!$B$3:$C$16, MATCH(C88,Activos!$B$3:$B$16),2),"")</f>
        <v>herramienta(s) comercial(es) de gestión de negocio (CRM y ERP)</v>
      </c>
      <c r="C88" s="27" t="s">
        <v>93</v>
      </c>
      <c r="D88" s="27" t="s">
        <v>41</v>
      </c>
      <c r="E88" s="25" t="s">
        <v>25</v>
      </c>
      <c r="F88" s="26">
        <f>IF(E88='Tablas AR'!$B$4,1,IF('Análisis de Riesgos'!E88='Tablas AR'!$B$5,2,IF('Análisis de Riesgos'!E88='Tablas AR'!$B$6,3,"")))</f>
        <v>1</v>
      </c>
      <c r="G88" s="25" t="s">
        <v>26</v>
      </c>
      <c r="H88" s="26">
        <f>IF(G88='Tablas AR'!$B$10,1,IF('Análisis de Riesgos'!G88='Tablas AR'!$B$11,2,IF('Análisis de Riesgos'!G88='Tablas AR'!$B$12,3,"")))</f>
        <v>2</v>
      </c>
      <c r="I88" s="26">
        <f t="shared" si="1"/>
        <v>2</v>
      </c>
    </row>
    <row r="89" spans="2:9" ht="30" x14ac:dyDescent="0.25">
      <c r="B89" s="27" t="str">
        <f>IFERROR(INDEX(Activos!$B$3:$C$16, MATCH(C89,Activos!$B$3:$B$16),2),"")</f>
        <v>herramienta(s) comercial(es) de gestión de negocio (CRM y ERP)</v>
      </c>
      <c r="C89" s="27" t="s">
        <v>93</v>
      </c>
      <c r="D89" s="27" t="s">
        <v>42</v>
      </c>
      <c r="E89" s="25" t="s">
        <v>25</v>
      </c>
      <c r="F89" s="26">
        <f>IF(E89='Tablas AR'!$B$4,1,IF('Análisis de Riesgos'!E89='Tablas AR'!$B$5,2,IF('Análisis de Riesgos'!E89='Tablas AR'!$B$6,3,"")))</f>
        <v>1</v>
      </c>
      <c r="G89" s="25" t="s">
        <v>26</v>
      </c>
      <c r="H89" s="26">
        <f>IF(G89='Tablas AR'!$B$10,1,IF('Análisis de Riesgos'!G89='Tablas AR'!$B$11,2,IF('Análisis de Riesgos'!G89='Tablas AR'!$B$12,3,"")))</f>
        <v>2</v>
      </c>
      <c r="I89" s="26">
        <f t="shared" si="1"/>
        <v>2</v>
      </c>
    </row>
    <row r="90" spans="2:9" ht="30" x14ac:dyDescent="0.25">
      <c r="B90" s="27" t="str">
        <f>IFERROR(INDEX(Activos!$B$3:$C$16, MATCH(C90,Activos!$B$3:$B$16),2),"")</f>
        <v>herramienta(s) comercial(es) de gestión de negocio (CRM y ERP)</v>
      </c>
      <c r="C90" s="27" t="s">
        <v>93</v>
      </c>
      <c r="D90" s="27" t="s">
        <v>43</v>
      </c>
      <c r="E90" s="25" t="s">
        <v>25</v>
      </c>
      <c r="F90" s="26">
        <f>IF(E90='Tablas AR'!$B$4,1,IF('Análisis de Riesgos'!E90='Tablas AR'!$B$5,2,IF('Análisis de Riesgos'!E90='Tablas AR'!$B$6,3,"")))</f>
        <v>1</v>
      </c>
      <c r="G90" s="25" t="s">
        <v>27</v>
      </c>
      <c r="H90" s="26">
        <f>IF(G90='Tablas AR'!$B$10,1,IF('Análisis de Riesgos'!G90='Tablas AR'!$B$11,2,IF('Análisis de Riesgos'!G90='Tablas AR'!$B$12,3,"")))</f>
        <v>3</v>
      </c>
      <c r="I90" s="26">
        <f t="shared" si="1"/>
        <v>3</v>
      </c>
    </row>
    <row r="91" spans="2:9" ht="30" x14ac:dyDescent="0.25">
      <c r="B91" s="27" t="str">
        <f>IFERROR(INDEX(Activos!$B$3:$C$16, MATCH(C91,Activos!$B$3:$B$16),2),"")</f>
        <v>herramienta(s) comercial(es) de gestión de negocio (CRM y ERP)</v>
      </c>
      <c r="C91" s="27" t="s">
        <v>93</v>
      </c>
      <c r="D91" s="27" t="s">
        <v>44</v>
      </c>
      <c r="E91" s="25" t="s">
        <v>26</v>
      </c>
      <c r="F91" s="26">
        <f>IF(E91='Tablas AR'!$B$4,1,IF('Análisis de Riesgos'!E91='Tablas AR'!$B$5,2,IF('Análisis de Riesgos'!E91='Tablas AR'!$B$6,3,"")))</f>
        <v>2</v>
      </c>
      <c r="G91" s="25" t="s">
        <v>27</v>
      </c>
      <c r="H91" s="26">
        <f>IF(G91='Tablas AR'!$B$10,1,IF('Análisis de Riesgos'!G91='Tablas AR'!$B$11,2,IF('Análisis de Riesgos'!G91='Tablas AR'!$B$12,3,"")))</f>
        <v>3</v>
      </c>
      <c r="I91" s="26">
        <f t="shared" si="1"/>
        <v>6</v>
      </c>
    </row>
    <row r="92" spans="2:9" ht="30" x14ac:dyDescent="0.25">
      <c r="B92" s="27" t="str">
        <f>IFERROR(INDEX(Activos!$B$3:$C$16, MATCH(C92,Activos!$B$3:$B$16),2),"")</f>
        <v>herramienta(s) comercial(es) de gestión de negocio (CRM y ERP)</v>
      </c>
      <c r="C92" s="27" t="s">
        <v>93</v>
      </c>
      <c r="D92" s="27" t="s">
        <v>45</v>
      </c>
      <c r="E92" s="25" t="s">
        <v>25</v>
      </c>
      <c r="F92" s="26">
        <f>IF(E92='Tablas AR'!$B$4,1,IF('Análisis de Riesgos'!E92='Tablas AR'!$B$5,2,IF('Análisis de Riesgos'!E92='Tablas AR'!$B$6,3,"")))</f>
        <v>1</v>
      </c>
      <c r="G92" s="25" t="s">
        <v>26</v>
      </c>
      <c r="H92" s="26">
        <f>IF(G92='Tablas AR'!$B$10,1,IF('Análisis de Riesgos'!G92='Tablas AR'!$B$11,2,IF('Análisis de Riesgos'!G92='Tablas AR'!$B$12,3,"")))</f>
        <v>2</v>
      </c>
      <c r="I92" s="26">
        <f t="shared" si="1"/>
        <v>2</v>
      </c>
    </row>
    <row r="93" spans="2:9" ht="30" x14ac:dyDescent="0.25">
      <c r="B93" s="27" t="str">
        <f>IFERROR(INDEX(Activos!$B$3:$C$16, MATCH(C93,Activos!$B$3:$B$16),2),"")</f>
        <v>herramienta(s) comercial(es) de gestión de negocio (CRM y ERP)</v>
      </c>
      <c r="C93" s="27" t="s">
        <v>93</v>
      </c>
      <c r="D93" s="27" t="s">
        <v>46</v>
      </c>
      <c r="E93" s="25" t="s">
        <v>25</v>
      </c>
      <c r="F93" s="26">
        <f>IF(E93='Tablas AR'!$B$4,1,IF('Análisis de Riesgos'!E93='Tablas AR'!$B$5,2,IF('Análisis de Riesgos'!E93='Tablas AR'!$B$6,3,"")))</f>
        <v>1</v>
      </c>
      <c r="G93" s="25" t="s">
        <v>27</v>
      </c>
      <c r="H93" s="26">
        <f>IF(G93='Tablas AR'!$B$10,1,IF('Análisis de Riesgos'!G93='Tablas AR'!$B$11,2,IF('Análisis de Riesgos'!G93='Tablas AR'!$B$12,3,"")))</f>
        <v>3</v>
      </c>
      <c r="I93" s="26">
        <f t="shared" si="1"/>
        <v>3</v>
      </c>
    </row>
    <row r="94" spans="2:9" ht="30" x14ac:dyDescent="0.25">
      <c r="B94" s="27" t="str">
        <f>IFERROR(INDEX(Activos!$B$3:$C$16, MATCH(C94,Activos!$B$3:$B$16),2),"")</f>
        <v>herramienta(s) comercial(es) de gestión de negocio (CRM y ERP)</v>
      </c>
      <c r="C94" s="27" t="s">
        <v>93</v>
      </c>
      <c r="D94" s="27" t="s">
        <v>47</v>
      </c>
      <c r="E94" s="25" t="s">
        <v>25</v>
      </c>
      <c r="F94" s="26">
        <f>IF(E94='Tablas AR'!$B$4,1,IF('Análisis de Riesgos'!E94='Tablas AR'!$B$5,2,IF('Análisis de Riesgos'!E94='Tablas AR'!$B$6,3,"")))</f>
        <v>1</v>
      </c>
      <c r="G94" s="25" t="s">
        <v>26</v>
      </c>
      <c r="H94" s="26">
        <f>IF(G94='Tablas AR'!$B$10,1,IF('Análisis de Riesgos'!G94='Tablas AR'!$B$11,2,IF('Análisis de Riesgos'!G94='Tablas AR'!$B$12,3,"")))</f>
        <v>2</v>
      </c>
      <c r="I94" s="26">
        <f t="shared" si="1"/>
        <v>2</v>
      </c>
    </row>
    <row r="95" spans="2:9" ht="30" x14ac:dyDescent="0.25">
      <c r="B95" s="27" t="str">
        <f>IFERROR(INDEX(Activos!$B$3:$C$16, MATCH(C95,Activos!$B$3:$B$16),2),"")</f>
        <v>herramienta(s) comercial(es) de gestión de negocio (CRM y ERP)</v>
      </c>
      <c r="C95" s="27" t="s">
        <v>93</v>
      </c>
      <c r="D95" s="27" t="s">
        <v>48</v>
      </c>
      <c r="E95" s="25" t="s">
        <v>26</v>
      </c>
      <c r="F95" s="26">
        <f>IF(E95='Tablas AR'!$B$4,1,IF('Análisis de Riesgos'!E95='Tablas AR'!$B$5,2,IF('Análisis de Riesgos'!E95='Tablas AR'!$B$6,3,"")))</f>
        <v>2</v>
      </c>
      <c r="G95" s="25" t="s">
        <v>26</v>
      </c>
      <c r="H95" s="26">
        <f>IF(G95='Tablas AR'!$B$10,1,IF('Análisis de Riesgos'!G95='Tablas AR'!$B$11,2,IF('Análisis de Riesgos'!G95='Tablas AR'!$B$12,3,"")))</f>
        <v>2</v>
      </c>
      <c r="I95" s="26">
        <f t="shared" si="1"/>
        <v>4</v>
      </c>
    </row>
    <row r="96" spans="2:9" ht="30" x14ac:dyDescent="0.25">
      <c r="B96" s="27" t="str">
        <f>IFERROR(INDEX(Activos!$B$3:$C$16, MATCH(C96,Activos!$B$3:$B$16),2),"")</f>
        <v>herramienta(s) comercial(es) de gestión de negocio (CRM y ERP)</v>
      </c>
      <c r="C96" s="27" t="s">
        <v>93</v>
      </c>
      <c r="D96" s="27" t="s">
        <v>49</v>
      </c>
      <c r="E96" s="25" t="s">
        <v>25</v>
      </c>
      <c r="F96" s="26">
        <f>IF(E96='Tablas AR'!$B$4,1,IF('Análisis de Riesgos'!E96='Tablas AR'!$B$5,2,IF('Análisis de Riesgos'!E96='Tablas AR'!$B$6,3,"")))</f>
        <v>1</v>
      </c>
      <c r="G96" s="25" t="s">
        <v>26</v>
      </c>
      <c r="H96" s="26">
        <f>IF(G96='Tablas AR'!$B$10,1,IF('Análisis de Riesgos'!G96='Tablas AR'!$B$11,2,IF('Análisis de Riesgos'!G96='Tablas AR'!$B$12,3,"")))</f>
        <v>2</v>
      </c>
      <c r="I96" s="26">
        <f t="shared" si="1"/>
        <v>2</v>
      </c>
    </row>
    <row r="97" spans="2:9" ht="30" x14ac:dyDescent="0.25">
      <c r="B97" s="27" t="str">
        <f>IFERROR(INDEX(Activos!$B$3:$C$16, MATCH(C97,Activos!$B$3:$B$16),2),"")</f>
        <v>herramienta(s) comercial(es) de gestión de negocio (CRM y ERP)</v>
      </c>
      <c r="C97" s="27" t="s">
        <v>93</v>
      </c>
      <c r="D97" s="27" t="s">
        <v>50</v>
      </c>
      <c r="E97" s="25" t="s">
        <v>26</v>
      </c>
      <c r="F97" s="26">
        <f>IF(E97='Tablas AR'!$B$4,1,IF('Análisis de Riesgos'!E97='Tablas AR'!$B$5,2,IF('Análisis de Riesgos'!E97='Tablas AR'!$B$6,3,"")))</f>
        <v>2</v>
      </c>
      <c r="G97" s="25" t="s">
        <v>26</v>
      </c>
      <c r="H97" s="26">
        <f>IF(G97='Tablas AR'!$B$10,1,IF('Análisis de Riesgos'!G97='Tablas AR'!$B$11,2,IF('Análisis de Riesgos'!G97='Tablas AR'!$B$12,3,"")))</f>
        <v>2</v>
      </c>
      <c r="I97" s="26">
        <f t="shared" si="1"/>
        <v>4</v>
      </c>
    </row>
    <row r="98" spans="2:9" ht="30" x14ac:dyDescent="0.25">
      <c r="B98" s="27" t="str">
        <f>IFERROR(INDEX(Activos!$B$3:$C$16, MATCH(C98,Activos!$B$3:$B$16),2),"")</f>
        <v>herramienta(s) comercial(es) de gestión de negocio (CRM y ERP)</v>
      </c>
      <c r="C98" s="27" t="s">
        <v>93</v>
      </c>
      <c r="D98" s="27" t="s">
        <v>51</v>
      </c>
      <c r="E98" s="25" t="s">
        <v>25</v>
      </c>
      <c r="F98" s="26">
        <f>IF(E98='Tablas AR'!$B$4,1,IF('Análisis de Riesgos'!E98='Tablas AR'!$B$5,2,IF('Análisis de Riesgos'!E98='Tablas AR'!$B$6,3,"")))</f>
        <v>1</v>
      </c>
      <c r="G98" s="25" t="s">
        <v>26</v>
      </c>
      <c r="H98" s="26">
        <f>IF(G98='Tablas AR'!$B$10,1,IF('Análisis de Riesgos'!G98='Tablas AR'!$B$11,2,IF('Análisis de Riesgos'!G98='Tablas AR'!$B$12,3,"")))</f>
        <v>2</v>
      </c>
      <c r="I98" s="26">
        <f t="shared" si="1"/>
        <v>2</v>
      </c>
    </row>
    <row r="99" spans="2:9" ht="30" x14ac:dyDescent="0.25">
      <c r="B99" s="27" t="str">
        <f>IFERROR(INDEX(Activos!$B$3:$C$16, MATCH(C99,Activos!$B$3:$B$16),2),"")</f>
        <v>herramienta(s) comercial(es) de gestión de negocio (CRM y ERP)</v>
      </c>
      <c r="C99" s="27" t="s">
        <v>93</v>
      </c>
      <c r="D99" s="27" t="s">
        <v>52</v>
      </c>
      <c r="E99" s="25" t="s">
        <v>26</v>
      </c>
      <c r="F99" s="26">
        <f>IF(E99='Tablas AR'!$B$4,1,IF('Análisis de Riesgos'!E99='Tablas AR'!$B$5,2,IF('Análisis de Riesgos'!E99='Tablas AR'!$B$6,3,"")))</f>
        <v>2</v>
      </c>
      <c r="G99" s="25" t="s">
        <v>26</v>
      </c>
      <c r="H99" s="26">
        <f>IF(G99='Tablas AR'!$B$10,1,IF('Análisis de Riesgos'!G99='Tablas AR'!$B$11,2,IF('Análisis de Riesgos'!G99='Tablas AR'!$B$12,3,"")))</f>
        <v>2</v>
      </c>
      <c r="I99" s="26">
        <f t="shared" si="1"/>
        <v>4</v>
      </c>
    </row>
    <row r="100" spans="2:9" ht="30" x14ac:dyDescent="0.25">
      <c r="B100" s="27" t="str">
        <f>IFERROR(INDEX(Activos!$B$3:$C$16, MATCH(C100,Activos!$B$3:$B$16),2),"")</f>
        <v>herramienta(s) comercial(es) de gestión de negocio (CRM y ERP)</v>
      </c>
      <c r="C100" s="27" t="s">
        <v>93</v>
      </c>
      <c r="D100" s="27" t="s">
        <v>53</v>
      </c>
      <c r="E100" s="25" t="s">
        <v>25</v>
      </c>
      <c r="F100" s="26">
        <f>IF(E100='Tablas AR'!$B$4,1,IF('Análisis de Riesgos'!E100='Tablas AR'!$B$5,2,IF('Análisis de Riesgos'!E100='Tablas AR'!$B$6,3,"")))</f>
        <v>1</v>
      </c>
      <c r="G100" s="25" t="s">
        <v>27</v>
      </c>
      <c r="H100" s="26">
        <f>IF(G100='Tablas AR'!$B$10,1,IF('Análisis de Riesgos'!G100='Tablas AR'!$B$11,2,IF('Análisis de Riesgos'!G100='Tablas AR'!$B$12,3,"")))</f>
        <v>3</v>
      </c>
      <c r="I100" s="26">
        <f t="shared" si="1"/>
        <v>3</v>
      </c>
    </row>
    <row r="101" spans="2:9" ht="30" x14ac:dyDescent="0.25">
      <c r="B101" s="27" t="str">
        <f>IFERROR(INDEX(Activos!$B$3:$C$16, MATCH(C101,Activos!$B$3:$B$16),2),"")</f>
        <v>herramienta(s) comercial(es) de gestión de negocio (CRM y ERP)</v>
      </c>
      <c r="C101" s="27" t="s">
        <v>93</v>
      </c>
      <c r="D101" s="27" t="s">
        <v>54</v>
      </c>
      <c r="E101" s="25" t="s">
        <v>26</v>
      </c>
      <c r="F101" s="26">
        <f>IF(E101='Tablas AR'!$B$4,1,IF('Análisis de Riesgos'!E101='Tablas AR'!$B$5,2,IF('Análisis de Riesgos'!E101='Tablas AR'!$B$6,3,"")))</f>
        <v>2</v>
      </c>
      <c r="G101" s="25" t="s">
        <v>26</v>
      </c>
      <c r="H101" s="26">
        <f>IF(G101='Tablas AR'!$B$10,1,IF('Análisis de Riesgos'!G101='Tablas AR'!$B$11,2,IF('Análisis de Riesgos'!G101='Tablas AR'!$B$12,3,"")))</f>
        <v>2</v>
      </c>
      <c r="I101" s="26">
        <f t="shared" si="1"/>
        <v>4</v>
      </c>
    </row>
    <row r="102" spans="2:9" ht="30" x14ac:dyDescent="0.25">
      <c r="B102" s="27" t="str">
        <f>IFERROR(INDEX(Activos!$B$3:$C$16, MATCH(C102,Activos!$B$3:$B$16),2),"")</f>
        <v>herramienta(s) comercial(es) de gestión de negocio (CRM y ERP)</v>
      </c>
      <c r="C102" s="27" t="s">
        <v>93</v>
      </c>
      <c r="D102" s="27" t="s">
        <v>37</v>
      </c>
      <c r="E102" s="25" t="s">
        <v>26</v>
      </c>
      <c r="F102" s="26">
        <f>IF(E102='Tablas AR'!$B$4,1,IF('Análisis de Riesgos'!E102='Tablas AR'!$B$5,2,IF('Análisis de Riesgos'!E102='Tablas AR'!$B$6,3,"")))</f>
        <v>2</v>
      </c>
      <c r="G102" s="25" t="s">
        <v>26</v>
      </c>
      <c r="H102" s="26">
        <f>IF(G102='Tablas AR'!$B$10,1,IF('Análisis de Riesgos'!G102='Tablas AR'!$B$11,2,IF('Análisis de Riesgos'!G102='Tablas AR'!$B$12,3,"")))</f>
        <v>2</v>
      </c>
      <c r="I102" s="26">
        <f t="shared" si="1"/>
        <v>4</v>
      </c>
    </row>
    <row r="103" spans="2:9" ht="30" x14ac:dyDescent="0.25">
      <c r="B103" s="27" t="str">
        <f>IFERROR(INDEX(Activos!$B$3:$C$16, MATCH(C103,Activos!$B$3:$B$16),2),"")</f>
        <v>herramienta(s) comercial(es) de gestión de negocio (CRM y ERP)</v>
      </c>
      <c r="C103" s="27" t="s">
        <v>93</v>
      </c>
      <c r="D103" s="27" t="s">
        <v>38</v>
      </c>
      <c r="E103" s="25" t="s">
        <v>25</v>
      </c>
      <c r="F103" s="26">
        <f>IF(E103='Tablas AR'!$B$4,1,IF('Análisis de Riesgos'!E103='Tablas AR'!$B$5,2,IF('Análisis de Riesgos'!E103='Tablas AR'!$B$6,3,"")))</f>
        <v>1</v>
      </c>
      <c r="G103" s="25" t="s">
        <v>27</v>
      </c>
      <c r="H103" s="26">
        <f>IF(G103='Tablas AR'!$B$10,1,IF('Análisis de Riesgos'!G103='Tablas AR'!$B$11,2,IF('Análisis de Riesgos'!G103='Tablas AR'!$B$12,3,"")))</f>
        <v>3</v>
      </c>
      <c r="I103" s="26">
        <f t="shared" si="1"/>
        <v>3</v>
      </c>
    </row>
    <row r="104" spans="2:9" ht="30" x14ac:dyDescent="0.25">
      <c r="B104" s="27" t="str">
        <f>IFERROR(INDEX(Activos!$B$3:$C$16, MATCH(C104,Activos!$B$3:$B$16),2),"")</f>
        <v>herramienta(s) comercial(es) de gestión de negocio (CRM y ERP)</v>
      </c>
      <c r="C104" s="27" t="s">
        <v>93</v>
      </c>
      <c r="D104" s="27" t="s">
        <v>39</v>
      </c>
      <c r="E104" s="25" t="s">
        <v>25</v>
      </c>
      <c r="F104" s="26">
        <f>IF(E104='Tablas AR'!$B$4,1,IF('Análisis de Riesgos'!E104='Tablas AR'!$B$5,2,IF('Análisis de Riesgos'!E104='Tablas AR'!$B$6,3,"")))</f>
        <v>1</v>
      </c>
      <c r="G104" s="25" t="s">
        <v>26</v>
      </c>
      <c r="H104" s="26">
        <f>IF(G104='Tablas AR'!$B$10,1,IF('Análisis de Riesgos'!G104='Tablas AR'!$B$11,2,IF('Análisis de Riesgos'!G104='Tablas AR'!$B$12,3,"")))</f>
        <v>2</v>
      </c>
      <c r="I104" s="26">
        <f t="shared" si="1"/>
        <v>2</v>
      </c>
    </row>
    <row r="105" spans="2:9" ht="30" x14ac:dyDescent="0.25">
      <c r="B105" s="27" t="str">
        <f>IFERROR(INDEX(Activos!$B$3:$C$16, MATCH(C105,Activos!$B$3:$B$16),2),"")</f>
        <v>herramienta(s) comercial(es) de gestión de negocio (CRM y ERP)</v>
      </c>
      <c r="C105" s="27" t="s">
        <v>93</v>
      </c>
      <c r="D105" s="27" t="s">
        <v>55</v>
      </c>
      <c r="E105" s="25" t="s">
        <v>25</v>
      </c>
      <c r="F105" s="26">
        <f>IF(E105='Tablas AR'!$B$4,1,IF('Análisis de Riesgos'!E105='Tablas AR'!$B$5,2,IF('Análisis de Riesgos'!E105='Tablas AR'!$B$6,3,"")))</f>
        <v>1</v>
      </c>
      <c r="G105" s="25" t="s">
        <v>27</v>
      </c>
      <c r="H105" s="26">
        <f>IF(G105='Tablas AR'!$B$10,1,IF('Análisis de Riesgos'!G105='Tablas AR'!$B$11,2,IF('Análisis de Riesgos'!G105='Tablas AR'!$B$12,3,"")))</f>
        <v>3</v>
      </c>
      <c r="I105" s="26">
        <f t="shared" si="1"/>
        <v>3</v>
      </c>
    </row>
    <row r="106" spans="2:9" ht="30" x14ac:dyDescent="0.25">
      <c r="B106" s="27" t="str">
        <f>IFERROR(INDEX(Activos!$B$3:$C$16, MATCH(C106,Activos!$B$3:$B$16),2),"")</f>
        <v>herramienta(s) comercial(es) de gestión de negocio (CRM y ERP)</v>
      </c>
      <c r="C106" s="27" t="s">
        <v>93</v>
      </c>
      <c r="D106" s="27" t="s">
        <v>52</v>
      </c>
      <c r="E106" s="25" t="s">
        <v>26</v>
      </c>
      <c r="F106" s="26">
        <f>IF(E106='Tablas AR'!$B$4,1,IF('Análisis de Riesgos'!E106='Tablas AR'!$B$5,2,IF('Análisis de Riesgos'!E106='Tablas AR'!$B$6,3,"")))</f>
        <v>2</v>
      </c>
      <c r="G106" s="25" t="s">
        <v>26</v>
      </c>
      <c r="H106" s="26">
        <f>IF(G106='Tablas AR'!$B$10,1,IF('Análisis de Riesgos'!G106='Tablas AR'!$B$11,2,IF('Análisis de Riesgos'!G106='Tablas AR'!$B$12,3,"")))</f>
        <v>2</v>
      </c>
      <c r="I106" s="26">
        <f t="shared" si="1"/>
        <v>4</v>
      </c>
    </row>
    <row r="107" spans="2:9" ht="30" x14ac:dyDescent="0.25">
      <c r="B107" s="27" t="str">
        <f>IFERROR(INDEX(Activos!$B$3:$C$16, MATCH(C107,Activos!$B$3:$B$16),2),"")</f>
        <v>herramienta(s) comercial(es) de gestión de negocio (CRM y ERP)</v>
      </c>
      <c r="C107" s="27" t="s">
        <v>93</v>
      </c>
      <c r="D107" s="27" t="s">
        <v>58</v>
      </c>
      <c r="E107" s="25" t="s">
        <v>26</v>
      </c>
      <c r="F107" s="26">
        <f>IF(E107='Tablas AR'!$B$4,1,IF('Análisis de Riesgos'!E107='Tablas AR'!$B$5,2,IF('Análisis de Riesgos'!E107='Tablas AR'!$B$6,3,"")))</f>
        <v>2</v>
      </c>
      <c r="G107" s="25" t="s">
        <v>26</v>
      </c>
      <c r="H107" s="26">
        <f>IF(G107='Tablas AR'!$B$10,1,IF('Análisis de Riesgos'!G107='Tablas AR'!$B$11,2,IF('Análisis de Riesgos'!G107='Tablas AR'!$B$12,3,"")))</f>
        <v>2</v>
      </c>
      <c r="I107" s="26">
        <f t="shared" si="1"/>
        <v>4</v>
      </c>
    </row>
    <row r="108" spans="2:9" ht="30" x14ac:dyDescent="0.25">
      <c r="B108" s="27" t="str">
        <f>IFERROR(INDEX(Activos!$B$3:$C$16, MATCH(C108,Activos!$B$3:$B$16),2),"")</f>
        <v xml:space="preserve">página web / tienda online y redes sociales que gestionan desde la empresa </v>
      </c>
      <c r="C108" s="27" t="s">
        <v>94</v>
      </c>
      <c r="D108" s="27" t="s">
        <v>29</v>
      </c>
      <c r="E108" s="25" t="s">
        <v>25</v>
      </c>
      <c r="F108" s="26">
        <f>IF(E108='Tablas AR'!$B$4,1,IF('Análisis de Riesgos'!E108='Tablas AR'!$B$5,2,IF('Análisis de Riesgos'!E108='Tablas AR'!$B$6,3,"")))</f>
        <v>1</v>
      </c>
      <c r="G108" s="25" t="s">
        <v>27</v>
      </c>
      <c r="H108" s="26">
        <f>IF(G108='Tablas AR'!$B$10,1,IF('Análisis de Riesgos'!G108='Tablas AR'!$B$11,2,IF('Análisis de Riesgos'!G108='Tablas AR'!$B$12,3,"")))</f>
        <v>3</v>
      </c>
      <c r="I108" s="26">
        <f t="shared" si="1"/>
        <v>3</v>
      </c>
    </row>
    <row r="109" spans="2:9" ht="30" x14ac:dyDescent="0.25">
      <c r="B109" s="27" t="str">
        <f>IFERROR(INDEX(Activos!$B$3:$C$16, MATCH(C109,Activos!$B$3:$B$16),2),"")</f>
        <v xml:space="preserve">página web / tienda online y redes sociales que gestionan desde la empresa </v>
      </c>
      <c r="C109" s="27" t="s">
        <v>94</v>
      </c>
      <c r="D109" s="27" t="s">
        <v>30</v>
      </c>
      <c r="E109" s="25" t="s">
        <v>25</v>
      </c>
      <c r="F109" s="26">
        <f>IF(E109='Tablas AR'!$B$4,1,IF('Análisis de Riesgos'!E109='Tablas AR'!$B$5,2,IF('Análisis de Riesgos'!E109='Tablas AR'!$B$6,3,"")))</f>
        <v>1</v>
      </c>
      <c r="G109" s="25" t="s">
        <v>27</v>
      </c>
      <c r="H109" s="26">
        <f>IF(G109='Tablas AR'!$B$10,1,IF('Análisis de Riesgos'!G109='Tablas AR'!$B$11,2,IF('Análisis de Riesgos'!G109='Tablas AR'!$B$12,3,"")))</f>
        <v>3</v>
      </c>
      <c r="I109" s="26">
        <f t="shared" si="1"/>
        <v>3</v>
      </c>
    </row>
    <row r="110" spans="2:9" ht="30" x14ac:dyDescent="0.25">
      <c r="B110" s="27" t="str">
        <f>IFERROR(INDEX(Activos!$B$3:$C$16, MATCH(C110,Activos!$B$3:$B$16),2),"")</f>
        <v xml:space="preserve">página web / tienda online y redes sociales que gestionan desde la empresa </v>
      </c>
      <c r="C110" s="27" t="s">
        <v>94</v>
      </c>
      <c r="D110" s="27" t="s">
        <v>31</v>
      </c>
      <c r="E110" s="25" t="s">
        <v>25</v>
      </c>
      <c r="F110" s="26">
        <f>IF(E110='Tablas AR'!$B$4,1,IF('Análisis de Riesgos'!E110='Tablas AR'!$B$5,2,IF('Análisis de Riesgos'!E110='Tablas AR'!$B$6,3,"")))</f>
        <v>1</v>
      </c>
      <c r="G110" s="25" t="s">
        <v>26</v>
      </c>
      <c r="H110" s="26">
        <f>IF(G110='Tablas AR'!$B$10,1,IF('Análisis de Riesgos'!G110='Tablas AR'!$B$11,2,IF('Análisis de Riesgos'!G110='Tablas AR'!$B$12,3,"")))</f>
        <v>2</v>
      </c>
      <c r="I110" s="26">
        <f t="shared" si="1"/>
        <v>2</v>
      </c>
    </row>
    <row r="111" spans="2:9" ht="30" x14ac:dyDescent="0.25">
      <c r="B111" s="27" t="str">
        <f>IFERROR(INDEX(Activos!$B$3:$C$16, MATCH(C111,Activos!$B$3:$B$16),2),"")</f>
        <v xml:space="preserve">página web / tienda online y redes sociales que gestionan desde la empresa </v>
      </c>
      <c r="C111" s="27" t="s">
        <v>94</v>
      </c>
      <c r="D111" s="27" t="s">
        <v>41</v>
      </c>
      <c r="E111" s="25" t="s">
        <v>25</v>
      </c>
      <c r="F111" s="26">
        <f>IF(E111='Tablas AR'!$B$4,1,IF('Análisis de Riesgos'!E111='Tablas AR'!$B$5,2,IF('Análisis de Riesgos'!E111='Tablas AR'!$B$6,3,"")))</f>
        <v>1</v>
      </c>
      <c r="G111" s="25" t="s">
        <v>26</v>
      </c>
      <c r="H111" s="26">
        <f>IF(G111='Tablas AR'!$B$10,1,IF('Análisis de Riesgos'!G111='Tablas AR'!$B$11,2,IF('Análisis de Riesgos'!G111='Tablas AR'!$B$12,3,"")))</f>
        <v>2</v>
      </c>
      <c r="I111" s="26">
        <f t="shared" si="1"/>
        <v>2</v>
      </c>
    </row>
    <row r="112" spans="2:9" ht="30" x14ac:dyDescent="0.25">
      <c r="B112" s="27" t="str">
        <f>IFERROR(INDEX(Activos!$B$3:$C$16, MATCH(C112,Activos!$B$3:$B$16),2),"")</f>
        <v xml:space="preserve">página web / tienda online y redes sociales que gestionan desde la empresa </v>
      </c>
      <c r="C112" s="27" t="s">
        <v>94</v>
      </c>
      <c r="D112" s="27" t="s">
        <v>42</v>
      </c>
      <c r="E112" s="25" t="s">
        <v>25</v>
      </c>
      <c r="F112" s="26">
        <f>IF(E112='Tablas AR'!$B$4,1,IF('Análisis de Riesgos'!E112='Tablas AR'!$B$5,2,IF('Análisis de Riesgos'!E112='Tablas AR'!$B$6,3,"")))</f>
        <v>1</v>
      </c>
      <c r="G112" s="25" t="s">
        <v>26</v>
      </c>
      <c r="H112" s="26">
        <f>IF(G112='Tablas AR'!$B$10,1,IF('Análisis de Riesgos'!G112='Tablas AR'!$B$11,2,IF('Análisis de Riesgos'!G112='Tablas AR'!$B$12,3,"")))</f>
        <v>2</v>
      </c>
      <c r="I112" s="26">
        <f t="shared" si="1"/>
        <v>2</v>
      </c>
    </row>
    <row r="113" spans="2:9" ht="30" x14ac:dyDescent="0.25">
      <c r="B113" s="27" t="str">
        <f>IFERROR(INDEX(Activos!$B$3:$C$16, MATCH(C113,Activos!$B$3:$B$16),2),"")</f>
        <v xml:space="preserve">página web / tienda online y redes sociales que gestionan desde la empresa </v>
      </c>
      <c r="C113" s="27" t="s">
        <v>94</v>
      </c>
      <c r="D113" s="27" t="s">
        <v>43</v>
      </c>
      <c r="E113" s="25" t="s">
        <v>25</v>
      </c>
      <c r="F113" s="26">
        <f>IF(E113='Tablas AR'!$B$4,1,IF('Análisis de Riesgos'!E113='Tablas AR'!$B$5,2,IF('Análisis de Riesgos'!E113='Tablas AR'!$B$6,3,"")))</f>
        <v>1</v>
      </c>
      <c r="G113" s="25" t="s">
        <v>27</v>
      </c>
      <c r="H113" s="26">
        <f>IF(G113='Tablas AR'!$B$10,1,IF('Análisis de Riesgos'!G113='Tablas AR'!$B$11,2,IF('Análisis de Riesgos'!G113='Tablas AR'!$B$12,3,"")))</f>
        <v>3</v>
      </c>
      <c r="I113" s="26">
        <f t="shared" si="1"/>
        <v>3</v>
      </c>
    </row>
    <row r="114" spans="2:9" ht="30" x14ac:dyDescent="0.25">
      <c r="B114" s="27" t="str">
        <f>IFERROR(INDEX(Activos!$B$3:$C$16, MATCH(C114,Activos!$B$3:$B$16),2),"")</f>
        <v xml:space="preserve">página web / tienda online y redes sociales que gestionan desde la empresa </v>
      </c>
      <c r="C114" s="27" t="s">
        <v>94</v>
      </c>
      <c r="D114" s="27" t="s">
        <v>32</v>
      </c>
      <c r="E114" s="25" t="s">
        <v>25</v>
      </c>
      <c r="F114" s="26">
        <f>IF(E114='Tablas AR'!$B$4,1,IF('Análisis de Riesgos'!E114='Tablas AR'!$B$5,2,IF('Análisis de Riesgos'!E114='Tablas AR'!$B$6,3,"")))</f>
        <v>1</v>
      </c>
      <c r="G114" s="25" t="s">
        <v>26</v>
      </c>
      <c r="H114" s="26">
        <f>IF(G114='Tablas AR'!$B$10,1,IF('Análisis de Riesgos'!G114='Tablas AR'!$B$11,2,IF('Análisis de Riesgos'!G114='Tablas AR'!$B$12,3,"")))</f>
        <v>2</v>
      </c>
      <c r="I114" s="26">
        <f t="shared" si="1"/>
        <v>2</v>
      </c>
    </row>
    <row r="115" spans="2:9" ht="30" x14ac:dyDescent="0.25">
      <c r="B115" s="27" t="str">
        <f>IFERROR(INDEX(Activos!$B$3:$C$16, MATCH(C115,Activos!$B$3:$B$16),2),"")</f>
        <v xml:space="preserve">página web / tienda online y redes sociales que gestionan desde la empresa </v>
      </c>
      <c r="C115" s="27" t="s">
        <v>94</v>
      </c>
      <c r="D115" s="27" t="s">
        <v>34</v>
      </c>
      <c r="E115" s="25" t="s">
        <v>25</v>
      </c>
      <c r="F115" s="26">
        <f>IF(E115='Tablas AR'!$B$4,1,IF('Análisis de Riesgos'!E115='Tablas AR'!$B$5,2,IF('Análisis de Riesgos'!E115='Tablas AR'!$B$6,3,"")))</f>
        <v>1</v>
      </c>
      <c r="G115" s="25" t="s">
        <v>26</v>
      </c>
      <c r="H115" s="26">
        <f>IF(G115='Tablas AR'!$B$10,1,IF('Análisis de Riesgos'!G115='Tablas AR'!$B$11,2,IF('Análisis de Riesgos'!G115='Tablas AR'!$B$12,3,"")))</f>
        <v>2</v>
      </c>
      <c r="I115" s="26">
        <f t="shared" si="1"/>
        <v>2</v>
      </c>
    </row>
    <row r="116" spans="2:9" ht="30" x14ac:dyDescent="0.25">
      <c r="B116" s="27" t="str">
        <f>IFERROR(INDEX(Activos!$B$3:$C$16, MATCH(C116,Activos!$B$3:$B$16),2),"")</f>
        <v xml:space="preserve">página web / tienda online y redes sociales que gestionan desde la empresa </v>
      </c>
      <c r="C116" s="27" t="s">
        <v>94</v>
      </c>
      <c r="D116" s="27" t="s">
        <v>46</v>
      </c>
      <c r="E116" s="25" t="s">
        <v>25</v>
      </c>
      <c r="F116" s="26">
        <f>IF(E116='Tablas AR'!$B$4,1,IF('Análisis de Riesgos'!E116='Tablas AR'!$B$5,2,IF('Análisis de Riesgos'!E116='Tablas AR'!$B$6,3,"")))</f>
        <v>1</v>
      </c>
      <c r="G116" s="25" t="s">
        <v>27</v>
      </c>
      <c r="H116" s="26">
        <f>IF(G116='Tablas AR'!$B$10,1,IF('Análisis de Riesgos'!G116='Tablas AR'!$B$11,2,IF('Análisis de Riesgos'!G116='Tablas AR'!$B$12,3,"")))</f>
        <v>3</v>
      </c>
      <c r="I116" s="26">
        <f t="shared" si="1"/>
        <v>3</v>
      </c>
    </row>
    <row r="117" spans="2:9" ht="30" x14ac:dyDescent="0.25">
      <c r="B117" s="27" t="str">
        <f>IFERROR(INDEX(Activos!$B$3:$C$16, MATCH(C117,Activos!$B$3:$B$16),2),"")</f>
        <v xml:space="preserve">página web / tienda online y redes sociales que gestionan desde la empresa </v>
      </c>
      <c r="C117" s="27" t="s">
        <v>94</v>
      </c>
      <c r="D117" s="27" t="s">
        <v>48</v>
      </c>
      <c r="E117" s="25" t="s">
        <v>26</v>
      </c>
      <c r="F117" s="26">
        <f>IF(E117='Tablas AR'!$B$4,1,IF('Análisis de Riesgos'!E117='Tablas AR'!$B$5,2,IF('Análisis de Riesgos'!E117='Tablas AR'!$B$6,3,"")))</f>
        <v>2</v>
      </c>
      <c r="G117" s="25" t="s">
        <v>26</v>
      </c>
      <c r="H117" s="26">
        <f>IF(G117='Tablas AR'!$B$10,1,IF('Análisis de Riesgos'!G117='Tablas AR'!$B$11,2,IF('Análisis de Riesgos'!G117='Tablas AR'!$B$12,3,"")))</f>
        <v>2</v>
      </c>
      <c r="I117" s="26">
        <f t="shared" si="1"/>
        <v>4</v>
      </c>
    </row>
    <row r="118" spans="2:9" ht="30" x14ac:dyDescent="0.25">
      <c r="B118" s="27" t="str">
        <f>IFERROR(INDEX(Activos!$B$3:$C$16, MATCH(C118,Activos!$B$3:$B$16),2),"")</f>
        <v xml:space="preserve">página web / tienda online y redes sociales que gestionan desde la empresa </v>
      </c>
      <c r="C118" s="27" t="s">
        <v>94</v>
      </c>
      <c r="D118" s="27" t="s">
        <v>49</v>
      </c>
      <c r="E118" s="25" t="s">
        <v>25</v>
      </c>
      <c r="F118" s="26">
        <f>IF(E118='Tablas AR'!$B$4,1,IF('Análisis de Riesgos'!E118='Tablas AR'!$B$5,2,IF('Análisis de Riesgos'!E118='Tablas AR'!$B$6,3,"")))</f>
        <v>1</v>
      </c>
      <c r="G118" s="25" t="s">
        <v>26</v>
      </c>
      <c r="H118" s="26">
        <f>IF(G118='Tablas AR'!$B$10,1,IF('Análisis de Riesgos'!G118='Tablas AR'!$B$11,2,IF('Análisis de Riesgos'!G118='Tablas AR'!$B$12,3,"")))</f>
        <v>2</v>
      </c>
      <c r="I118" s="26">
        <f t="shared" si="1"/>
        <v>2</v>
      </c>
    </row>
    <row r="119" spans="2:9" ht="30" x14ac:dyDescent="0.25">
      <c r="B119" s="27" t="str">
        <f>IFERROR(INDEX(Activos!$B$3:$C$16, MATCH(C119,Activos!$B$3:$B$16),2),"")</f>
        <v xml:space="preserve">página web / tienda online y redes sociales que gestionan desde la empresa </v>
      </c>
      <c r="C119" s="27" t="s">
        <v>94</v>
      </c>
      <c r="D119" s="27" t="s">
        <v>50</v>
      </c>
      <c r="E119" s="25" t="s">
        <v>26</v>
      </c>
      <c r="F119" s="26">
        <f>IF(E119='Tablas AR'!$B$4,1,IF('Análisis de Riesgos'!E119='Tablas AR'!$B$5,2,IF('Análisis de Riesgos'!E119='Tablas AR'!$B$6,3,"")))</f>
        <v>2</v>
      </c>
      <c r="G119" s="25" t="s">
        <v>26</v>
      </c>
      <c r="H119" s="26">
        <f>IF(G119='Tablas AR'!$B$10,1,IF('Análisis de Riesgos'!G119='Tablas AR'!$B$11,2,IF('Análisis de Riesgos'!G119='Tablas AR'!$B$12,3,"")))</f>
        <v>2</v>
      </c>
      <c r="I119" s="26">
        <f t="shared" si="1"/>
        <v>4</v>
      </c>
    </row>
    <row r="120" spans="2:9" ht="30" x14ac:dyDescent="0.25">
      <c r="B120" s="27" t="str">
        <f>IFERROR(INDEX(Activos!$B$3:$C$16, MATCH(C120,Activos!$B$3:$B$16),2),"")</f>
        <v xml:space="preserve">página web / tienda online y redes sociales que gestionan desde la empresa </v>
      </c>
      <c r="C120" s="27" t="s">
        <v>94</v>
      </c>
      <c r="D120" s="27" t="s">
        <v>51</v>
      </c>
      <c r="E120" s="25" t="s">
        <v>25</v>
      </c>
      <c r="F120" s="26">
        <f>IF(E120='Tablas AR'!$B$4,1,IF('Análisis de Riesgos'!E120='Tablas AR'!$B$5,2,IF('Análisis de Riesgos'!E120='Tablas AR'!$B$6,3,"")))</f>
        <v>1</v>
      </c>
      <c r="G120" s="25" t="s">
        <v>26</v>
      </c>
      <c r="H120" s="26">
        <f>IF(G120='Tablas AR'!$B$10,1,IF('Análisis de Riesgos'!G120='Tablas AR'!$B$11,2,IF('Análisis de Riesgos'!G120='Tablas AR'!$B$12,3,"")))</f>
        <v>2</v>
      </c>
      <c r="I120" s="26">
        <f t="shared" si="1"/>
        <v>2</v>
      </c>
    </row>
    <row r="121" spans="2:9" ht="30" x14ac:dyDescent="0.25">
      <c r="B121" s="27" t="str">
        <f>IFERROR(INDEX(Activos!$B$3:$C$16, MATCH(C121,Activos!$B$3:$B$16),2),"")</f>
        <v xml:space="preserve">página web / tienda online y redes sociales que gestionan desde la empresa </v>
      </c>
      <c r="C121" s="27" t="s">
        <v>94</v>
      </c>
      <c r="D121" s="27" t="s">
        <v>53</v>
      </c>
      <c r="E121" s="25" t="s">
        <v>25</v>
      </c>
      <c r="F121" s="26">
        <f>IF(E121='Tablas AR'!$B$4,1,IF('Análisis de Riesgos'!E121='Tablas AR'!$B$5,2,IF('Análisis de Riesgos'!E121='Tablas AR'!$B$6,3,"")))</f>
        <v>1</v>
      </c>
      <c r="G121" s="25" t="s">
        <v>27</v>
      </c>
      <c r="H121" s="26">
        <f>IF(G121='Tablas AR'!$B$10,1,IF('Análisis de Riesgos'!G121='Tablas AR'!$B$11,2,IF('Análisis de Riesgos'!G121='Tablas AR'!$B$12,3,"")))</f>
        <v>3</v>
      </c>
      <c r="I121" s="26">
        <f t="shared" si="1"/>
        <v>3</v>
      </c>
    </row>
    <row r="122" spans="2:9" ht="30" x14ac:dyDescent="0.25">
      <c r="B122" s="27" t="str">
        <f>IFERROR(INDEX(Activos!$B$3:$C$16, MATCH(C122,Activos!$B$3:$B$16),2),"")</f>
        <v xml:space="preserve">página web / tienda online y redes sociales que gestionan desde la empresa </v>
      </c>
      <c r="C122" s="27" t="s">
        <v>94</v>
      </c>
      <c r="D122" s="27" t="s">
        <v>54</v>
      </c>
      <c r="E122" s="25" t="s">
        <v>26</v>
      </c>
      <c r="F122" s="26">
        <f>IF(E122='Tablas AR'!$B$4,1,IF('Análisis de Riesgos'!E122='Tablas AR'!$B$5,2,IF('Análisis de Riesgos'!E122='Tablas AR'!$B$6,3,"")))</f>
        <v>2</v>
      </c>
      <c r="G122" s="25" t="s">
        <v>26</v>
      </c>
      <c r="H122" s="26">
        <f>IF(G122='Tablas AR'!$B$10,1,IF('Análisis de Riesgos'!G122='Tablas AR'!$B$11,2,IF('Análisis de Riesgos'!G122='Tablas AR'!$B$12,3,"")))</f>
        <v>2</v>
      </c>
      <c r="I122" s="26">
        <f t="shared" si="1"/>
        <v>4</v>
      </c>
    </row>
    <row r="123" spans="2:9" ht="30" x14ac:dyDescent="0.25">
      <c r="B123" s="27" t="str">
        <f>IFERROR(INDEX(Activos!$B$3:$C$16, MATCH(C123,Activos!$B$3:$B$16),2),"")</f>
        <v xml:space="preserve">página web / tienda online y redes sociales que gestionan desde la empresa </v>
      </c>
      <c r="C123" s="27" t="s">
        <v>94</v>
      </c>
      <c r="D123" s="27" t="s">
        <v>37</v>
      </c>
      <c r="E123" s="25" t="s">
        <v>26</v>
      </c>
      <c r="F123" s="26">
        <f>IF(E123='Tablas AR'!$B$4,1,IF('Análisis de Riesgos'!E123='Tablas AR'!$B$5,2,IF('Análisis de Riesgos'!E123='Tablas AR'!$B$6,3,"")))</f>
        <v>2</v>
      </c>
      <c r="G123" s="25" t="s">
        <v>26</v>
      </c>
      <c r="H123" s="26">
        <f>IF(G123='Tablas AR'!$B$10,1,IF('Análisis de Riesgos'!G123='Tablas AR'!$B$11,2,IF('Análisis de Riesgos'!G123='Tablas AR'!$B$12,3,"")))</f>
        <v>2</v>
      </c>
      <c r="I123" s="26">
        <f t="shared" si="1"/>
        <v>4</v>
      </c>
    </row>
    <row r="124" spans="2:9" ht="30" x14ac:dyDescent="0.25">
      <c r="B124" s="27" t="str">
        <f>IFERROR(INDEX(Activos!$B$3:$C$16, MATCH(C124,Activos!$B$3:$B$16),2),"")</f>
        <v xml:space="preserve">página web / tienda online y redes sociales que gestionan desde la empresa </v>
      </c>
      <c r="C124" s="27" t="s">
        <v>94</v>
      </c>
      <c r="D124" s="27" t="s">
        <v>38</v>
      </c>
      <c r="E124" s="25" t="s">
        <v>25</v>
      </c>
      <c r="F124" s="26">
        <f>IF(E124='Tablas AR'!$B$4,1,IF('Análisis de Riesgos'!E124='Tablas AR'!$B$5,2,IF('Análisis de Riesgos'!E124='Tablas AR'!$B$6,3,"")))</f>
        <v>1</v>
      </c>
      <c r="G124" s="25" t="s">
        <v>27</v>
      </c>
      <c r="H124" s="26">
        <f>IF(G124='Tablas AR'!$B$10,1,IF('Análisis de Riesgos'!G124='Tablas AR'!$B$11,2,IF('Análisis de Riesgos'!G124='Tablas AR'!$B$12,3,"")))</f>
        <v>3</v>
      </c>
      <c r="I124" s="26">
        <f t="shared" si="1"/>
        <v>3</v>
      </c>
    </row>
    <row r="125" spans="2:9" ht="30" x14ac:dyDescent="0.25">
      <c r="B125" s="27" t="str">
        <f>IFERROR(INDEX(Activos!$B$3:$C$16, MATCH(C125,Activos!$B$3:$B$16),2),"")</f>
        <v xml:space="preserve">página web / tienda online y redes sociales que gestionan desde la empresa </v>
      </c>
      <c r="C125" s="27" t="s">
        <v>94</v>
      </c>
      <c r="D125" s="27" t="s">
        <v>39</v>
      </c>
      <c r="E125" s="25" t="s">
        <v>25</v>
      </c>
      <c r="F125" s="26">
        <f>IF(E125='Tablas AR'!$B$4,1,IF('Análisis de Riesgos'!E125='Tablas AR'!$B$5,2,IF('Análisis de Riesgos'!E125='Tablas AR'!$B$6,3,"")))</f>
        <v>1</v>
      </c>
      <c r="G125" s="25" t="s">
        <v>26</v>
      </c>
      <c r="H125" s="26">
        <f>IF(G125='Tablas AR'!$B$10,1,IF('Análisis de Riesgos'!G125='Tablas AR'!$B$11,2,IF('Análisis de Riesgos'!G125='Tablas AR'!$B$12,3,"")))</f>
        <v>2</v>
      </c>
      <c r="I125" s="26">
        <f t="shared" si="1"/>
        <v>2</v>
      </c>
    </row>
    <row r="126" spans="2:9" ht="30" x14ac:dyDescent="0.25">
      <c r="B126" s="27" t="str">
        <f>IFERROR(INDEX(Activos!$B$3:$C$16, MATCH(C126,Activos!$B$3:$B$16),2),"")</f>
        <v xml:space="preserve">página web / tienda online y redes sociales que gestionan desde la empresa </v>
      </c>
      <c r="C126" s="27" t="s">
        <v>94</v>
      </c>
      <c r="D126" s="27" t="s">
        <v>55</v>
      </c>
      <c r="E126" s="25" t="s">
        <v>25</v>
      </c>
      <c r="F126" s="26">
        <f>IF(E126='Tablas AR'!$B$4,1,IF('Análisis de Riesgos'!E126='Tablas AR'!$B$5,2,IF('Análisis de Riesgos'!E126='Tablas AR'!$B$6,3,"")))</f>
        <v>1</v>
      </c>
      <c r="G126" s="25" t="s">
        <v>27</v>
      </c>
      <c r="H126" s="26">
        <f>IF(G126='Tablas AR'!$B$10,1,IF('Análisis de Riesgos'!G126='Tablas AR'!$B$11,2,IF('Análisis de Riesgos'!G126='Tablas AR'!$B$12,3,"")))</f>
        <v>3</v>
      </c>
      <c r="I126" s="26">
        <f t="shared" si="1"/>
        <v>3</v>
      </c>
    </row>
    <row r="127" spans="2:9" x14ac:dyDescent="0.25">
      <c r="B127" s="27" t="str">
        <f>IFERROR(INDEX(Activos!$B$3:$C$16, MATCH(C127,Activos!$B$3:$B$16),2),"")</f>
        <v/>
      </c>
      <c r="C127" s="27"/>
      <c r="D127" s="27"/>
      <c r="E127" s="25"/>
      <c r="F127" s="26" t="str">
        <f>IF(E127='Tablas AR'!$B$4,1,IF('Análisis de Riesgos'!E127='Tablas AR'!$B$5,2,IF('Análisis de Riesgos'!E127='Tablas AR'!$B$6,3,"")))</f>
        <v/>
      </c>
      <c r="G127" s="25"/>
      <c r="H127" s="26" t="str">
        <f>IF(G127='Tablas AR'!$B$10,1,IF('Análisis de Riesgos'!G127='Tablas AR'!$B$11,2,IF('Análisis de Riesgos'!G127='Tablas AR'!$B$12,3,"")))</f>
        <v/>
      </c>
      <c r="I127" s="26" t="str">
        <f t="shared" si="1"/>
        <v/>
      </c>
    </row>
    <row r="128" spans="2:9" x14ac:dyDescent="0.25">
      <c r="B128" s="27" t="str">
        <f>IFERROR(INDEX(Activos!$B$3:$C$16, MATCH(C128,Activos!$B$3:$B$16),2),"")</f>
        <v/>
      </c>
      <c r="C128" s="27"/>
      <c r="D128" s="27"/>
      <c r="E128" s="25"/>
      <c r="F128" s="26" t="str">
        <f>IF(E128='Tablas AR'!$B$4,1,IF('Análisis de Riesgos'!E128='Tablas AR'!$B$5,2,IF('Análisis de Riesgos'!E128='Tablas AR'!$B$6,3,"")))</f>
        <v/>
      </c>
      <c r="G128" s="25"/>
      <c r="H128" s="26" t="str">
        <f>IF(G128='Tablas AR'!$B$10,1,IF('Análisis de Riesgos'!G128='Tablas AR'!$B$11,2,IF('Análisis de Riesgos'!G128='Tablas AR'!$B$12,3,"")))</f>
        <v/>
      </c>
      <c r="I128" s="26" t="str">
        <f t="shared" si="1"/>
        <v/>
      </c>
    </row>
    <row r="129" spans="2:9" x14ac:dyDescent="0.25">
      <c r="B129" s="27" t="str">
        <f>IFERROR(INDEX(Activos!$B$3:$C$16, MATCH(C129,Activos!$B$3:$B$16),2),"")</f>
        <v/>
      </c>
      <c r="C129" s="27"/>
      <c r="D129" s="27"/>
      <c r="E129" s="25"/>
      <c r="F129" s="26" t="str">
        <f>IF(E129='Tablas AR'!$B$4,1,IF('Análisis de Riesgos'!E129='Tablas AR'!$B$5,2,IF('Análisis de Riesgos'!E129='Tablas AR'!$B$6,3,"")))</f>
        <v/>
      </c>
      <c r="G129" s="25"/>
      <c r="H129" s="26" t="str">
        <f>IF(G129='Tablas AR'!$B$10,1,IF('Análisis de Riesgos'!G129='Tablas AR'!$B$11,2,IF('Análisis de Riesgos'!G129='Tablas AR'!$B$12,3,"")))</f>
        <v/>
      </c>
      <c r="I129" s="26" t="str">
        <f t="shared" si="1"/>
        <v/>
      </c>
    </row>
    <row r="130" spans="2:9" x14ac:dyDescent="0.25">
      <c r="B130" s="27" t="str">
        <f>IFERROR(INDEX(Activos!$B$3:$C$16, MATCH(C130,Activos!$B$3:$B$16),2),"")</f>
        <v/>
      </c>
      <c r="C130" s="27"/>
      <c r="D130" s="27"/>
      <c r="E130" s="25"/>
      <c r="F130" s="26" t="str">
        <f>IF(E130='Tablas AR'!$B$4,1,IF('Análisis de Riesgos'!E130='Tablas AR'!$B$5,2,IF('Análisis de Riesgos'!E130='Tablas AR'!$B$6,3,"")))</f>
        <v/>
      </c>
      <c r="G130" s="25"/>
      <c r="H130" s="26" t="str">
        <f>IF(G130='Tablas AR'!$B$10,1,IF('Análisis de Riesgos'!G130='Tablas AR'!$B$11,2,IF('Análisis de Riesgos'!G130='Tablas AR'!$B$12,3,"")))</f>
        <v/>
      </c>
      <c r="I130" s="26" t="str">
        <f t="shared" si="1"/>
        <v/>
      </c>
    </row>
    <row r="131" spans="2:9" x14ac:dyDescent="0.25">
      <c r="B131" s="27" t="str">
        <f>IFERROR(INDEX(Activos!$B$3:$C$16, MATCH(C131,Activos!$B$3:$B$16),2),"")</f>
        <v/>
      </c>
      <c r="C131" s="27"/>
      <c r="D131" s="27"/>
      <c r="E131" s="25"/>
      <c r="F131" s="26" t="str">
        <f>IF(E131='Tablas AR'!$B$4,1,IF('Análisis de Riesgos'!E131='Tablas AR'!$B$5,2,IF('Análisis de Riesgos'!E131='Tablas AR'!$B$6,3,"")))</f>
        <v/>
      </c>
      <c r="G131" s="25"/>
      <c r="H131" s="26" t="str">
        <f>IF(G131='Tablas AR'!$B$10,1,IF('Análisis de Riesgos'!G131='Tablas AR'!$B$11,2,IF('Análisis de Riesgos'!G131='Tablas AR'!$B$12,3,"")))</f>
        <v/>
      </c>
      <c r="I131" s="26" t="str">
        <f t="shared" si="1"/>
        <v/>
      </c>
    </row>
    <row r="132" spans="2:9" x14ac:dyDescent="0.25">
      <c r="B132" s="27" t="str">
        <f>IFERROR(INDEX(Activos!$B$3:$C$16, MATCH(C132,Activos!$B$3:$B$16),2),"")</f>
        <v/>
      </c>
      <c r="C132" s="27"/>
      <c r="D132" s="27"/>
      <c r="E132" s="25"/>
      <c r="F132" s="26" t="str">
        <f>IF(E132='Tablas AR'!$B$4,1,IF('Análisis de Riesgos'!E132='Tablas AR'!$B$5,2,IF('Análisis de Riesgos'!E132='Tablas AR'!$B$6,3,"")))</f>
        <v/>
      </c>
      <c r="G132" s="25"/>
      <c r="H132" s="26" t="str">
        <f>IF(G132='Tablas AR'!$B$10,1,IF('Análisis de Riesgos'!G132='Tablas AR'!$B$11,2,IF('Análisis de Riesgos'!G132='Tablas AR'!$B$12,3,"")))</f>
        <v/>
      </c>
      <c r="I132" s="26" t="str">
        <f t="shared" ref="I132:I195" si="2" xml:space="preserve"> IFERROR(F132*H132,"")</f>
        <v/>
      </c>
    </row>
    <row r="133" spans="2:9" x14ac:dyDescent="0.25">
      <c r="B133" s="27" t="str">
        <f>IFERROR(INDEX(Activos!$B$3:$C$16, MATCH(C133,Activos!$B$3:$B$16),2),"")</f>
        <v/>
      </c>
      <c r="C133" s="27"/>
      <c r="D133" s="27"/>
      <c r="E133" s="25"/>
      <c r="F133" s="26" t="str">
        <f>IF(E133='Tablas AR'!$B$4,1,IF('Análisis de Riesgos'!E133='Tablas AR'!$B$5,2,IF('Análisis de Riesgos'!E133='Tablas AR'!$B$6,3,"")))</f>
        <v/>
      </c>
      <c r="G133" s="25"/>
      <c r="H133" s="26" t="str">
        <f>IF(G133='Tablas AR'!$B$10,1,IF('Análisis de Riesgos'!G133='Tablas AR'!$B$11,2,IF('Análisis de Riesgos'!G133='Tablas AR'!$B$12,3,"")))</f>
        <v/>
      </c>
      <c r="I133" s="26" t="str">
        <f t="shared" si="2"/>
        <v/>
      </c>
    </row>
    <row r="134" spans="2:9" x14ac:dyDescent="0.25">
      <c r="B134" s="27" t="str">
        <f>IFERROR(INDEX(Activos!$B$3:$C$16, MATCH(C134,Activos!$B$3:$B$16),2),"")</f>
        <v/>
      </c>
      <c r="C134" s="27"/>
      <c r="D134" s="27"/>
      <c r="E134" s="25"/>
      <c r="F134" s="26" t="str">
        <f>IF(E134='Tablas AR'!$B$4,1,IF('Análisis de Riesgos'!E134='Tablas AR'!$B$5,2,IF('Análisis de Riesgos'!E134='Tablas AR'!$B$6,3,"")))</f>
        <v/>
      </c>
      <c r="G134" s="25"/>
      <c r="H134" s="26" t="str">
        <f>IF(G134='Tablas AR'!$B$10,1,IF('Análisis de Riesgos'!G134='Tablas AR'!$B$11,2,IF('Análisis de Riesgos'!G134='Tablas AR'!$B$12,3,"")))</f>
        <v/>
      </c>
      <c r="I134" s="26" t="str">
        <f t="shared" si="2"/>
        <v/>
      </c>
    </row>
    <row r="135" spans="2:9" x14ac:dyDescent="0.25">
      <c r="B135" s="27" t="str">
        <f>IFERROR(INDEX(Activos!$B$3:$C$16, MATCH(C135,Activos!$B$3:$B$16),2),"")</f>
        <v/>
      </c>
      <c r="C135" s="27"/>
      <c r="D135" s="27"/>
      <c r="E135" s="25"/>
      <c r="F135" s="26" t="str">
        <f>IF(E135='Tablas AR'!$B$4,1,IF('Análisis de Riesgos'!E135='Tablas AR'!$B$5,2,IF('Análisis de Riesgos'!E135='Tablas AR'!$B$6,3,"")))</f>
        <v/>
      </c>
      <c r="G135" s="25"/>
      <c r="H135" s="26" t="str">
        <f>IF(G135='Tablas AR'!$B$10,1,IF('Análisis de Riesgos'!G135='Tablas AR'!$B$11,2,IF('Análisis de Riesgos'!G135='Tablas AR'!$B$12,3,"")))</f>
        <v/>
      </c>
      <c r="I135" s="26" t="str">
        <f t="shared" si="2"/>
        <v/>
      </c>
    </row>
    <row r="136" spans="2:9" x14ac:dyDescent="0.25">
      <c r="B136" s="27" t="str">
        <f>IFERROR(INDEX(Activos!$B$3:$C$16, MATCH(C136,Activos!$B$3:$B$16),2),"")</f>
        <v/>
      </c>
      <c r="C136" s="27"/>
      <c r="D136" s="27"/>
      <c r="E136" s="25"/>
      <c r="F136" s="26" t="str">
        <f>IF(E136='Tablas AR'!$B$4,1,IF('Análisis de Riesgos'!E136='Tablas AR'!$B$5,2,IF('Análisis de Riesgos'!E136='Tablas AR'!$B$6,3,"")))</f>
        <v/>
      </c>
      <c r="G136" s="25"/>
      <c r="H136" s="26" t="str">
        <f>IF(G136='Tablas AR'!$B$10,1,IF('Análisis de Riesgos'!G136='Tablas AR'!$B$11,2,IF('Análisis de Riesgos'!G136='Tablas AR'!$B$12,3,"")))</f>
        <v/>
      </c>
      <c r="I136" s="26" t="str">
        <f t="shared" si="2"/>
        <v/>
      </c>
    </row>
    <row r="137" spans="2:9" x14ac:dyDescent="0.25">
      <c r="B137" s="27" t="str">
        <f>IFERROR(INDEX(Activos!$B$3:$C$16, MATCH(C137,Activos!$B$3:$B$16),2),"")</f>
        <v/>
      </c>
      <c r="C137" s="27"/>
      <c r="D137" s="27"/>
      <c r="E137" s="25"/>
      <c r="F137" s="26" t="str">
        <f>IF(E137='Tablas AR'!$B$4,1,IF('Análisis de Riesgos'!E137='Tablas AR'!$B$5,2,IF('Análisis de Riesgos'!E137='Tablas AR'!$B$6,3,"")))</f>
        <v/>
      </c>
      <c r="G137" s="25"/>
      <c r="H137" s="26" t="str">
        <f>IF(G137='Tablas AR'!$B$10,1,IF('Análisis de Riesgos'!G137='Tablas AR'!$B$11,2,IF('Análisis de Riesgos'!G137='Tablas AR'!$B$12,3,"")))</f>
        <v/>
      </c>
      <c r="I137" s="26" t="str">
        <f t="shared" si="2"/>
        <v/>
      </c>
    </row>
    <row r="138" spans="2:9" x14ac:dyDescent="0.25">
      <c r="B138" s="27" t="str">
        <f>IFERROR(INDEX(Activos!$B$3:$C$16, MATCH(C138,Activos!$B$3:$B$16),2),"")</f>
        <v/>
      </c>
      <c r="C138" s="27"/>
      <c r="D138" s="27"/>
      <c r="E138" s="25"/>
      <c r="F138" s="26" t="str">
        <f>IF(E138='Tablas AR'!$B$4,1,IF('Análisis de Riesgos'!E138='Tablas AR'!$B$5,2,IF('Análisis de Riesgos'!E138='Tablas AR'!$B$6,3,"")))</f>
        <v/>
      </c>
      <c r="G138" s="25"/>
      <c r="H138" s="26" t="str">
        <f>IF(G138='Tablas AR'!$B$10,1,IF('Análisis de Riesgos'!G138='Tablas AR'!$B$11,2,IF('Análisis de Riesgos'!G138='Tablas AR'!$B$12,3,"")))</f>
        <v/>
      </c>
      <c r="I138" s="26" t="str">
        <f t="shared" si="2"/>
        <v/>
      </c>
    </row>
    <row r="139" spans="2:9" x14ac:dyDescent="0.25">
      <c r="B139" s="27" t="str">
        <f>IFERROR(INDEX(Activos!$B$3:$C$16, MATCH(C139,Activos!$B$3:$B$16),2),"")</f>
        <v/>
      </c>
      <c r="C139" s="27"/>
      <c r="D139" s="27"/>
      <c r="E139" s="25"/>
      <c r="F139" s="26" t="str">
        <f>IF(E139='Tablas AR'!$B$4,1,IF('Análisis de Riesgos'!E139='Tablas AR'!$B$5,2,IF('Análisis de Riesgos'!E139='Tablas AR'!$B$6,3,"")))</f>
        <v/>
      </c>
      <c r="G139" s="25"/>
      <c r="H139" s="26" t="str">
        <f>IF(G139='Tablas AR'!$B$10,1,IF('Análisis de Riesgos'!G139='Tablas AR'!$B$11,2,IF('Análisis de Riesgos'!G139='Tablas AR'!$B$12,3,"")))</f>
        <v/>
      </c>
      <c r="I139" s="26" t="str">
        <f t="shared" si="2"/>
        <v/>
      </c>
    </row>
    <row r="140" spans="2:9" x14ac:dyDescent="0.25">
      <c r="B140" s="27" t="str">
        <f>IFERROR(INDEX(Activos!$B$3:$C$16, MATCH(C140,Activos!$B$3:$B$16),2),"")</f>
        <v/>
      </c>
      <c r="C140" s="27"/>
      <c r="D140" s="27"/>
      <c r="E140" s="25"/>
      <c r="F140" s="26" t="str">
        <f>IF(E140='Tablas AR'!$B$4,1,IF('Análisis de Riesgos'!E140='Tablas AR'!$B$5,2,IF('Análisis de Riesgos'!E140='Tablas AR'!$B$6,3,"")))</f>
        <v/>
      </c>
      <c r="G140" s="25"/>
      <c r="H140" s="26" t="str">
        <f>IF(G140='Tablas AR'!$B$10,1,IF('Análisis de Riesgos'!G140='Tablas AR'!$B$11,2,IF('Análisis de Riesgos'!G140='Tablas AR'!$B$12,3,"")))</f>
        <v/>
      </c>
      <c r="I140" s="26" t="str">
        <f t="shared" si="2"/>
        <v/>
      </c>
    </row>
    <row r="141" spans="2:9" x14ac:dyDescent="0.25">
      <c r="B141" s="27" t="str">
        <f>IFERROR(INDEX(Activos!$B$3:$C$16, MATCH(C141,Activos!$B$3:$B$16),2),"")</f>
        <v/>
      </c>
      <c r="C141" s="27"/>
      <c r="D141" s="27"/>
      <c r="E141" s="25"/>
      <c r="F141" s="26" t="str">
        <f>IF(E141='Tablas AR'!$B$4,1,IF('Análisis de Riesgos'!E141='Tablas AR'!$B$5,2,IF('Análisis de Riesgos'!E141='Tablas AR'!$B$6,3,"")))</f>
        <v/>
      </c>
      <c r="G141" s="25"/>
      <c r="H141" s="26" t="str">
        <f>IF(G141='Tablas AR'!$B$10,1,IF('Análisis de Riesgos'!G141='Tablas AR'!$B$11,2,IF('Análisis de Riesgos'!G141='Tablas AR'!$B$12,3,"")))</f>
        <v/>
      </c>
      <c r="I141" s="26" t="str">
        <f t="shared" si="2"/>
        <v/>
      </c>
    </row>
    <row r="142" spans="2:9" x14ac:dyDescent="0.25">
      <c r="B142" s="27" t="str">
        <f>IFERROR(INDEX(Activos!$B$3:$C$16, MATCH(C142,Activos!$B$3:$B$16),2),"")</f>
        <v/>
      </c>
      <c r="C142" s="27"/>
      <c r="D142" s="27"/>
      <c r="E142" s="25"/>
      <c r="F142" s="26" t="str">
        <f>IF(E142='Tablas AR'!$B$4,1,IF('Análisis de Riesgos'!E142='Tablas AR'!$B$5,2,IF('Análisis de Riesgos'!E142='Tablas AR'!$B$6,3,"")))</f>
        <v/>
      </c>
      <c r="G142" s="25"/>
      <c r="H142" s="26" t="str">
        <f>IF(G142='Tablas AR'!$B$10,1,IF('Análisis de Riesgos'!G142='Tablas AR'!$B$11,2,IF('Análisis de Riesgos'!G142='Tablas AR'!$B$12,3,"")))</f>
        <v/>
      </c>
      <c r="I142" s="26" t="str">
        <f t="shared" si="2"/>
        <v/>
      </c>
    </row>
    <row r="143" spans="2:9" x14ac:dyDescent="0.25">
      <c r="B143" s="27" t="str">
        <f>IFERROR(INDEX(Activos!$B$3:$C$16, MATCH(C143,Activos!$B$3:$B$16),2),"")</f>
        <v/>
      </c>
      <c r="C143" s="27"/>
      <c r="D143" s="27"/>
      <c r="E143" s="25"/>
      <c r="F143" s="26" t="str">
        <f>IF(E143='Tablas AR'!$B$4,1,IF('Análisis de Riesgos'!E143='Tablas AR'!$B$5,2,IF('Análisis de Riesgos'!E143='Tablas AR'!$B$6,3,"")))</f>
        <v/>
      </c>
      <c r="G143" s="25"/>
      <c r="H143" s="26" t="str">
        <f>IF(G143='Tablas AR'!$B$10,1,IF('Análisis de Riesgos'!G143='Tablas AR'!$B$11,2,IF('Análisis de Riesgos'!G143='Tablas AR'!$B$12,3,"")))</f>
        <v/>
      </c>
      <c r="I143" s="26" t="str">
        <f t="shared" si="2"/>
        <v/>
      </c>
    </row>
    <row r="144" spans="2:9" x14ac:dyDescent="0.25">
      <c r="B144" s="27" t="str">
        <f>IFERROR(INDEX(Activos!$B$3:$C$16, MATCH(C144,Activos!$B$3:$B$16),2),"")</f>
        <v/>
      </c>
      <c r="C144" s="27"/>
      <c r="D144" s="27"/>
      <c r="E144" s="25"/>
      <c r="F144" s="26" t="str">
        <f>IF(E144='Tablas AR'!$B$4,1,IF('Análisis de Riesgos'!E144='Tablas AR'!$B$5,2,IF('Análisis de Riesgos'!E144='Tablas AR'!$B$6,3,"")))</f>
        <v/>
      </c>
      <c r="G144" s="25"/>
      <c r="H144" s="26" t="str">
        <f>IF(G144='Tablas AR'!$B$10,1,IF('Análisis de Riesgos'!G144='Tablas AR'!$B$11,2,IF('Análisis de Riesgos'!G144='Tablas AR'!$B$12,3,"")))</f>
        <v/>
      </c>
      <c r="I144" s="26" t="str">
        <f t="shared" si="2"/>
        <v/>
      </c>
    </row>
    <row r="145" spans="2:9" x14ac:dyDescent="0.25">
      <c r="B145" s="27" t="str">
        <f>IFERROR(INDEX(Activos!$B$3:$C$16, MATCH(C145,Activos!$B$3:$B$16),2),"")</f>
        <v/>
      </c>
      <c r="C145" s="27"/>
      <c r="D145" s="27"/>
      <c r="E145" s="25"/>
      <c r="F145" s="26" t="str">
        <f>IF(E145='Tablas AR'!$B$4,1,IF('Análisis de Riesgos'!E145='Tablas AR'!$B$5,2,IF('Análisis de Riesgos'!E145='Tablas AR'!$B$6,3,"")))</f>
        <v/>
      </c>
      <c r="G145" s="25"/>
      <c r="H145" s="26" t="str">
        <f>IF(G145='Tablas AR'!$B$10,1,IF('Análisis de Riesgos'!G145='Tablas AR'!$B$11,2,IF('Análisis de Riesgos'!G145='Tablas AR'!$B$12,3,"")))</f>
        <v/>
      </c>
      <c r="I145" s="26" t="str">
        <f t="shared" si="2"/>
        <v/>
      </c>
    </row>
    <row r="146" spans="2:9" x14ac:dyDescent="0.25">
      <c r="B146" s="27" t="str">
        <f>IFERROR(INDEX(Activos!$B$3:$C$16, MATCH(C146,Activos!$B$3:$B$16),2),"")</f>
        <v/>
      </c>
      <c r="C146" s="27"/>
      <c r="D146" s="27"/>
      <c r="E146" s="25"/>
      <c r="F146" s="26" t="str">
        <f>IF(E146='Tablas AR'!$B$4,1,IF('Análisis de Riesgos'!E146='Tablas AR'!$B$5,2,IF('Análisis de Riesgos'!E146='Tablas AR'!$B$6,3,"")))</f>
        <v/>
      </c>
      <c r="G146" s="25"/>
      <c r="H146" s="26" t="str">
        <f>IF(G146='Tablas AR'!$B$10,1,IF('Análisis de Riesgos'!G146='Tablas AR'!$B$11,2,IF('Análisis de Riesgos'!G146='Tablas AR'!$B$12,3,"")))</f>
        <v/>
      </c>
      <c r="I146" s="26" t="str">
        <f t="shared" si="2"/>
        <v/>
      </c>
    </row>
    <row r="147" spans="2:9" x14ac:dyDescent="0.25">
      <c r="B147" s="27" t="str">
        <f>IFERROR(INDEX(Activos!$B$3:$C$16, MATCH(C147,Activos!$B$3:$B$16),2),"")</f>
        <v/>
      </c>
      <c r="C147" s="27"/>
      <c r="D147" s="27"/>
      <c r="E147" s="25"/>
      <c r="F147" s="26" t="str">
        <f>IF(E147='Tablas AR'!$B$4,1,IF('Análisis de Riesgos'!E147='Tablas AR'!$B$5,2,IF('Análisis de Riesgos'!E147='Tablas AR'!$B$6,3,"")))</f>
        <v/>
      </c>
      <c r="G147" s="25"/>
      <c r="H147" s="26" t="str">
        <f>IF(G147='Tablas AR'!$B$10,1,IF('Análisis de Riesgos'!G147='Tablas AR'!$B$11,2,IF('Análisis de Riesgos'!G147='Tablas AR'!$B$12,3,"")))</f>
        <v/>
      </c>
      <c r="I147" s="26" t="str">
        <f t="shared" si="2"/>
        <v/>
      </c>
    </row>
    <row r="148" spans="2:9" x14ac:dyDescent="0.25">
      <c r="B148" s="27" t="str">
        <f>IFERROR(INDEX(Activos!$B$3:$C$16, MATCH(C148,Activos!$B$3:$B$16),2),"")</f>
        <v/>
      </c>
      <c r="C148" s="27"/>
      <c r="D148" s="27"/>
      <c r="E148" s="25"/>
      <c r="F148" s="26" t="str">
        <f>IF(E148='Tablas AR'!$B$4,1,IF('Análisis de Riesgos'!E148='Tablas AR'!$B$5,2,IF('Análisis de Riesgos'!E148='Tablas AR'!$B$6,3,"")))</f>
        <v/>
      </c>
      <c r="G148" s="25"/>
      <c r="H148" s="26" t="str">
        <f>IF(G148='Tablas AR'!$B$10,1,IF('Análisis de Riesgos'!G148='Tablas AR'!$B$11,2,IF('Análisis de Riesgos'!G148='Tablas AR'!$B$12,3,"")))</f>
        <v/>
      </c>
      <c r="I148" s="26" t="str">
        <f t="shared" si="2"/>
        <v/>
      </c>
    </row>
    <row r="149" spans="2:9" x14ac:dyDescent="0.25">
      <c r="B149" s="27" t="str">
        <f>IFERROR(INDEX(Activos!$B$3:$C$16, MATCH(C149,Activos!$B$3:$B$16),2),"")</f>
        <v/>
      </c>
      <c r="C149" s="27"/>
      <c r="D149" s="27"/>
      <c r="E149" s="25"/>
      <c r="F149" s="26" t="str">
        <f>IF(E149='Tablas AR'!$B$4,1,IF('Análisis de Riesgos'!E149='Tablas AR'!$B$5,2,IF('Análisis de Riesgos'!E149='Tablas AR'!$B$6,3,"")))</f>
        <v/>
      </c>
      <c r="G149" s="25"/>
      <c r="H149" s="26" t="str">
        <f>IF(G149='Tablas AR'!$B$10,1,IF('Análisis de Riesgos'!G149='Tablas AR'!$B$11,2,IF('Análisis de Riesgos'!G149='Tablas AR'!$B$12,3,"")))</f>
        <v/>
      </c>
      <c r="I149" s="26" t="str">
        <f t="shared" si="2"/>
        <v/>
      </c>
    </row>
    <row r="150" spans="2:9" x14ac:dyDescent="0.25">
      <c r="B150" s="27" t="str">
        <f>IFERROR(INDEX(Activos!$B$3:$C$16, MATCH(C150,Activos!$B$3:$B$16),2),"")</f>
        <v/>
      </c>
      <c r="C150" s="27"/>
      <c r="D150" s="27"/>
      <c r="E150" s="25"/>
      <c r="F150" s="26" t="str">
        <f>IF(E150='Tablas AR'!$B$4,1,IF('Análisis de Riesgos'!E150='Tablas AR'!$B$5,2,IF('Análisis de Riesgos'!E150='Tablas AR'!$B$6,3,"")))</f>
        <v/>
      </c>
      <c r="G150" s="25"/>
      <c r="H150" s="26" t="str">
        <f>IF(G150='Tablas AR'!$B$10,1,IF('Análisis de Riesgos'!G150='Tablas AR'!$B$11,2,IF('Análisis de Riesgos'!G150='Tablas AR'!$B$12,3,"")))</f>
        <v/>
      </c>
      <c r="I150" s="26" t="str">
        <f t="shared" si="2"/>
        <v/>
      </c>
    </row>
    <row r="151" spans="2:9" x14ac:dyDescent="0.25">
      <c r="B151" s="27" t="str">
        <f>IFERROR(INDEX(Activos!$B$3:$C$16, MATCH(C151,Activos!$B$3:$B$16),2),"")</f>
        <v/>
      </c>
      <c r="C151" s="27"/>
      <c r="D151" s="27"/>
      <c r="E151" s="25"/>
      <c r="F151" s="26" t="str">
        <f>IF(E151='Tablas AR'!$B$4,1,IF('Análisis de Riesgos'!E151='Tablas AR'!$B$5,2,IF('Análisis de Riesgos'!E151='Tablas AR'!$B$6,3,"")))</f>
        <v/>
      </c>
      <c r="G151" s="25"/>
      <c r="H151" s="26" t="str">
        <f>IF(G151='Tablas AR'!$B$10,1,IF('Análisis de Riesgos'!G151='Tablas AR'!$B$11,2,IF('Análisis de Riesgos'!G151='Tablas AR'!$B$12,3,"")))</f>
        <v/>
      </c>
      <c r="I151" s="26" t="str">
        <f t="shared" si="2"/>
        <v/>
      </c>
    </row>
    <row r="152" spans="2:9" x14ac:dyDescent="0.25">
      <c r="B152" s="27" t="str">
        <f>IFERROR(INDEX(Activos!$B$3:$C$16, MATCH(C152,Activos!$B$3:$B$16),2),"")</f>
        <v/>
      </c>
      <c r="C152" s="27"/>
      <c r="D152" s="27"/>
      <c r="E152" s="25"/>
      <c r="F152" s="26" t="str">
        <f>IF(E152='Tablas AR'!$B$4,1,IF('Análisis de Riesgos'!E152='Tablas AR'!$B$5,2,IF('Análisis de Riesgos'!E152='Tablas AR'!$B$6,3,"")))</f>
        <v/>
      </c>
      <c r="G152" s="25"/>
      <c r="H152" s="26" t="str">
        <f>IF(G152='Tablas AR'!$B$10,1,IF('Análisis de Riesgos'!G152='Tablas AR'!$B$11,2,IF('Análisis de Riesgos'!G152='Tablas AR'!$B$12,3,"")))</f>
        <v/>
      </c>
      <c r="I152" s="26" t="str">
        <f t="shared" si="2"/>
        <v/>
      </c>
    </row>
    <row r="153" spans="2:9" x14ac:dyDescent="0.25">
      <c r="B153" s="27" t="str">
        <f>IFERROR(INDEX(Activos!$B$3:$C$16, MATCH(C153,Activos!$B$3:$B$16),2),"")</f>
        <v/>
      </c>
      <c r="C153" s="27"/>
      <c r="D153" s="27"/>
      <c r="E153" s="25"/>
      <c r="F153" s="26" t="str">
        <f>IF(E153='Tablas AR'!$B$4,1,IF('Análisis de Riesgos'!E153='Tablas AR'!$B$5,2,IF('Análisis de Riesgos'!E153='Tablas AR'!$B$6,3,"")))</f>
        <v/>
      </c>
      <c r="G153" s="25"/>
      <c r="H153" s="26" t="str">
        <f>IF(G153='Tablas AR'!$B$10,1,IF('Análisis de Riesgos'!G153='Tablas AR'!$B$11,2,IF('Análisis de Riesgos'!G153='Tablas AR'!$B$12,3,"")))</f>
        <v/>
      </c>
      <c r="I153" s="26" t="str">
        <f t="shared" si="2"/>
        <v/>
      </c>
    </row>
    <row r="154" spans="2:9" x14ac:dyDescent="0.25">
      <c r="B154" s="27" t="str">
        <f>IFERROR(INDEX(Activos!$B$3:$C$16, MATCH(C154,Activos!$B$3:$B$16),2),"")</f>
        <v/>
      </c>
      <c r="C154" s="27"/>
      <c r="D154" s="27"/>
      <c r="E154" s="25"/>
      <c r="F154" s="26" t="str">
        <f>IF(E154='Tablas AR'!$B$4,1,IF('Análisis de Riesgos'!E154='Tablas AR'!$B$5,2,IF('Análisis de Riesgos'!E154='Tablas AR'!$B$6,3,"")))</f>
        <v/>
      </c>
      <c r="G154" s="25"/>
      <c r="H154" s="26" t="str">
        <f>IF(G154='Tablas AR'!$B$10,1,IF('Análisis de Riesgos'!G154='Tablas AR'!$B$11,2,IF('Análisis de Riesgos'!G154='Tablas AR'!$B$12,3,"")))</f>
        <v/>
      </c>
      <c r="I154" s="26" t="str">
        <f t="shared" si="2"/>
        <v/>
      </c>
    </row>
    <row r="155" spans="2:9" x14ac:dyDescent="0.25">
      <c r="B155" s="27" t="str">
        <f>IFERROR(INDEX(Activos!$B$3:$C$16, MATCH(C155,Activos!$B$3:$B$16),2),"")</f>
        <v/>
      </c>
      <c r="C155" s="27"/>
      <c r="D155" s="27"/>
      <c r="E155" s="25"/>
      <c r="F155" s="26" t="str">
        <f>IF(E155='Tablas AR'!$B$4,1,IF('Análisis de Riesgos'!E155='Tablas AR'!$B$5,2,IF('Análisis de Riesgos'!E155='Tablas AR'!$B$6,3,"")))</f>
        <v/>
      </c>
      <c r="G155" s="25"/>
      <c r="H155" s="26" t="str">
        <f>IF(G155='Tablas AR'!$B$10,1,IF('Análisis de Riesgos'!G155='Tablas AR'!$B$11,2,IF('Análisis de Riesgos'!G155='Tablas AR'!$B$12,3,"")))</f>
        <v/>
      </c>
      <c r="I155" s="26" t="str">
        <f t="shared" si="2"/>
        <v/>
      </c>
    </row>
    <row r="156" spans="2:9" x14ac:dyDescent="0.25">
      <c r="B156" s="27" t="str">
        <f>IFERROR(INDEX(Activos!$B$3:$C$16, MATCH(C156,Activos!$B$3:$B$16),2),"")</f>
        <v/>
      </c>
      <c r="C156" s="27"/>
      <c r="D156" s="27"/>
      <c r="E156" s="25"/>
      <c r="F156" s="26" t="str">
        <f>IF(E156='Tablas AR'!$B$4,1,IF('Análisis de Riesgos'!E156='Tablas AR'!$B$5,2,IF('Análisis de Riesgos'!E156='Tablas AR'!$B$6,3,"")))</f>
        <v/>
      </c>
      <c r="G156" s="25"/>
      <c r="H156" s="26" t="str">
        <f>IF(G156='Tablas AR'!$B$10,1,IF('Análisis de Riesgos'!G156='Tablas AR'!$B$11,2,IF('Análisis de Riesgos'!G156='Tablas AR'!$B$12,3,"")))</f>
        <v/>
      </c>
      <c r="I156" s="26" t="str">
        <f t="shared" si="2"/>
        <v/>
      </c>
    </row>
    <row r="157" spans="2:9" x14ac:dyDescent="0.25">
      <c r="B157" s="27" t="str">
        <f>IFERROR(INDEX(Activos!$B$3:$C$16, MATCH(C157,Activos!$B$3:$B$16),2),"")</f>
        <v/>
      </c>
      <c r="C157" s="27"/>
      <c r="D157" s="27"/>
      <c r="E157" s="25"/>
      <c r="F157" s="26" t="str">
        <f>IF(E157='Tablas AR'!$B$4,1,IF('Análisis de Riesgos'!E157='Tablas AR'!$B$5,2,IF('Análisis de Riesgos'!E157='Tablas AR'!$B$6,3,"")))</f>
        <v/>
      </c>
      <c r="G157" s="25"/>
      <c r="H157" s="26" t="str">
        <f>IF(G157='Tablas AR'!$B$10,1,IF('Análisis de Riesgos'!G157='Tablas AR'!$B$11,2,IF('Análisis de Riesgos'!G157='Tablas AR'!$B$12,3,"")))</f>
        <v/>
      </c>
      <c r="I157" s="26" t="str">
        <f t="shared" si="2"/>
        <v/>
      </c>
    </row>
    <row r="158" spans="2:9" x14ac:dyDescent="0.25">
      <c r="B158" s="27" t="str">
        <f>IFERROR(INDEX(Activos!$B$3:$C$16, MATCH(C158,Activos!$B$3:$B$16),2),"")</f>
        <v/>
      </c>
      <c r="C158" s="27"/>
      <c r="D158" s="27"/>
      <c r="E158" s="25"/>
      <c r="F158" s="26" t="str">
        <f>IF(E158='Tablas AR'!$B$4,1,IF('Análisis de Riesgos'!E158='Tablas AR'!$B$5,2,IF('Análisis de Riesgos'!E158='Tablas AR'!$B$6,3,"")))</f>
        <v/>
      </c>
      <c r="G158" s="25"/>
      <c r="H158" s="26" t="str">
        <f>IF(G158='Tablas AR'!$B$10,1,IF('Análisis de Riesgos'!G158='Tablas AR'!$B$11,2,IF('Análisis de Riesgos'!G158='Tablas AR'!$B$12,3,"")))</f>
        <v/>
      </c>
      <c r="I158" s="26" t="str">
        <f t="shared" si="2"/>
        <v/>
      </c>
    </row>
    <row r="159" spans="2:9" x14ac:dyDescent="0.25">
      <c r="B159" s="27" t="str">
        <f>IFERROR(INDEX(Activos!$B$3:$C$16, MATCH(C159,Activos!$B$3:$B$16),2),"")</f>
        <v/>
      </c>
      <c r="C159" s="27"/>
      <c r="D159" s="27"/>
      <c r="E159" s="25"/>
      <c r="F159" s="26" t="str">
        <f>IF(E159='Tablas AR'!$B$4,1,IF('Análisis de Riesgos'!E159='Tablas AR'!$B$5,2,IF('Análisis de Riesgos'!E159='Tablas AR'!$B$6,3,"")))</f>
        <v/>
      </c>
      <c r="G159" s="25"/>
      <c r="H159" s="26" t="str">
        <f>IF(G159='Tablas AR'!$B$10,1,IF('Análisis de Riesgos'!G159='Tablas AR'!$B$11,2,IF('Análisis de Riesgos'!G159='Tablas AR'!$B$12,3,"")))</f>
        <v/>
      </c>
      <c r="I159" s="26" t="str">
        <f t="shared" si="2"/>
        <v/>
      </c>
    </row>
    <row r="160" spans="2:9" x14ac:dyDescent="0.25">
      <c r="B160" s="27" t="str">
        <f>IFERROR(INDEX(Activos!$B$3:$C$16, MATCH(C160,Activos!$B$3:$B$16),2),"")</f>
        <v/>
      </c>
      <c r="C160" s="27"/>
      <c r="D160" s="27"/>
      <c r="E160" s="25"/>
      <c r="F160" s="26" t="str">
        <f>IF(E160='Tablas AR'!$B$4,1,IF('Análisis de Riesgos'!E160='Tablas AR'!$B$5,2,IF('Análisis de Riesgos'!E160='Tablas AR'!$B$6,3,"")))</f>
        <v/>
      </c>
      <c r="G160" s="25"/>
      <c r="H160" s="26" t="str">
        <f>IF(G160='Tablas AR'!$B$10,1,IF('Análisis de Riesgos'!G160='Tablas AR'!$B$11,2,IF('Análisis de Riesgos'!G160='Tablas AR'!$B$12,3,"")))</f>
        <v/>
      </c>
      <c r="I160" s="26" t="str">
        <f t="shared" si="2"/>
        <v/>
      </c>
    </row>
    <row r="161" spans="2:9" x14ac:dyDescent="0.25">
      <c r="B161" s="27" t="str">
        <f>IFERROR(INDEX(Activos!$B$3:$C$16, MATCH(C161,Activos!$B$3:$B$16),2),"")</f>
        <v/>
      </c>
      <c r="C161" s="27"/>
      <c r="D161" s="27"/>
      <c r="E161" s="25"/>
      <c r="F161" s="26" t="str">
        <f>IF(E161='Tablas AR'!$B$4,1,IF('Análisis de Riesgos'!E161='Tablas AR'!$B$5,2,IF('Análisis de Riesgos'!E161='Tablas AR'!$B$6,3,"")))</f>
        <v/>
      </c>
      <c r="G161" s="25"/>
      <c r="H161" s="26" t="str">
        <f>IF(G161='Tablas AR'!$B$10,1,IF('Análisis de Riesgos'!G161='Tablas AR'!$B$11,2,IF('Análisis de Riesgos'!G161='Tablas AR'!$B$12,3,"")))</f>
        <v/>
      </c>
      <c r="I161" s="26" t="str">
        <f t="shared" si="2"/>
        <v/>
      </c>
    </row>
    <row r="162" spans="2:9" x14ac:dyDescent="0.25">
      <c r="B162" s="27" t="str">
        <f>IFERROR(INDEX(Activos!$B$3:$C$16, MATCH(C162,Activos!$B$3:$B$16),2),"")</f>
        <v/>
      </c>
      <c r="C162" s="27"/>
      <c r="D162" s="27"/>
      <c r="E162" s="25"/>
      <c r="F162" s="26" t="str">
        <f>IF(E162='Tablas AR'!$B$4,1,IF('Análisis de Riesgos'!E162='Tablas AR'!$B$5,2,IF('Análisis de Riesgos'!E162='Tablas AR'!$B$6,3,"")))</f>
        <v/>
      </c>
      <c r="G162" s="25"/>
      <c r="H162" s="26" t="str">
        <f>IF(G162='Tablas AR'!$B$10,1,IF('Análisis de Riesgos'!G162='Tablas AR'!$B$11,2,IF('Análisis de Riesgos'!G162='Tablas AR'!$B$12,3,"")))</f>
        <v/>
      </c>
      <c r="I162" s="26" t="str">
        <f t="shared" si="2"/>
        <v/>
      </c>
    </row>
    <row r="163" spans="2:9" x14ac:dyDescent="0.25">
      <c r="B163" s="27" t="str">
        <f>IFERROR(INDEX(Activos!$B$3:$C$16, MATCH(C163,Activos!$B$3:$B$16),2),"")</f>
        <v/>
      </c>
      <c r="C163" s="27"/>
      <c r="D163" s="27"/>
      <c r="E163" s="25"/>
      <c r="F163" s="26" t="str">
        <f>IF(E163='Tablas AR'!$B$4,1,IF('Análisis de Riesgos'!E163='Tablas AR'!$B$5,2,IF('Análisis de Riesgos'!E163='Tablas AR'!$B$6,3,"")))</f>
        <v/>
      </c>
      <c r="G163" s="25"/>
      <c r="H163" s="26" t="str">
        <f>IF(G163='Tablas AR'!$B$10,1,IF('Análisis de Riesgos'!G163='Tablas AR'!$B$11,2,IF('Análisis de Riesgos'!G163='Tablas AR'!$B$12,3,"")))</f>
        <v/>
      </c>
      <c r="I163" s="26" t="str">
        <f t="shared" si="2"/>
        <v/>
      </c>
    </row>
    <row r="164" spans="2:9" x14ac:dyDescent="0.25">
      <c r="B164" s="27" t="str">
        <f>IFERROR(INDEX(Activos!$B$3:$C$16, MATCH(C164,Activos!$B$3:$B$16),2),"")</f>
        <v/>
      </c>
      <c r="C164" s="27"/>
      <c r="D164" s="27"/>
      <c r="E164" s="25"/>
      <c r="F164" s="26" t="str">
        <f>IF(E164='Tablas AR'!$B$4,1,IF('Análisis de Riesgos'!E164='Tablas AR'!$B$5,2,IF('Análisis de Riesgos'!E164='Tablas AR'!$B$6,3,"")))</f>
        <v/>
      </c>
      <c r="G164" s="25"/>
      <c r="H164" s="26" t="str">
        <f>IF(G164='Tablas AR'!$B$10,1,IF('Análisis de Riesgos'!G164='Tablas AR'!$B$11,2,IF('Análisis de Riesgos'!G164='Tablas AR'!$B$12,3,"")))</f>
        <v/>
      </c>
      <c r="I164" s="26" t="str">
        <f t="shared" si="2"/>
        <v/>
      </c>
    </row>
    <row r="165" spans="2:9" x14ac:dyDescent="0.25">
      <c r="B165" s="27" t="str">
        <f>IFERROR(INDEX(Activos!$B$3:$C$16, MATCH(C165,Activos!$B$3:$B$16),2),"")</f>
        <v/>
      </c>
      <c r="C165" s="27"/>
      <c r="D165" s="27"/>
      <c r="E165" s="25"/>
      <c r="F165" s="26" t="str">
        <f>IF(E165='Tablas AR'!$B$4,1,IF('Análisis de Riesgos'!E165='Tablas AR'!$B$5,2,IF('Análisis de Riesgos'!E165='Tablas AR'!$B$6,3,"")))</f>
        <v/>
      </c>
      <c r="G165" s="25"/>
      <c r="H165" s="26" t="str">
        <f>IF(G165='Tablas AR'!$B$10,1,IF('Análisis de Riesgos'!G165='Tablas AR'!$B$11,2,IF('Análisis de Riesgos'!G165='Tablas AR'!$B$12,3,"")))</f>
        <v/>
      </c>
      <c r="I165" s="26" t="str">
        <f t="shared" si="2"/>
        <v/>
      </c>
    </row>
    <row r="166" spans="2:9" x14ac:dyDescent="0.25">
      <c r="B166" s="27" t="str">
        <f>IFERROR(INDEX(Activos!$B$3:$C$16, MATCH(C166,Activos!$B$3:$B$16),2),"")</f>
        <v/>
      </c>
      <c r="C166" s="27"/>
      <c r="D166" s="27"/>
      <c r="E166" s="25"/>
      <c r="F166" s="26" t="str">
        <f>IF(E166='Tablas AR'!$B$4,1,IF('Análisis de Riesgos'!E166='Tablas AR'!$B$5,2,IF('Análisis de Riesgos'!E166='Tablas AR'!$B$6,3,"")))</f>
        <v/>
      </c>
      <c r="G166" s="25"/>
      <c r="H166" s="26" t="str">
        <f>IF(G166='Tablas AR'!$B$10,1,IF('Análisis de Riesgos'!G166='Tablas AR'!$B$11,2,IF('Análisis de Riesgos'!G166='Tablas AR'!$B$12,3,"")))</f>
        <v/>
      </c>
      <c r="I166" s="26" t="str">
        <f t="shared" si="2"/>
        <v/>
      </c>
    </row>
    <row r="167" spans="2:9" x14ac:dyDescent="0.25">
      <c r="B167" s="27" t="str">
        <f>IFERROR(INDEX(Activos!$B$3:$C$16, MATCH(C167,Activos!$B$3:$B$16),2),"")</f>
        <v/>
      </c>
      <c r="C167" s="27"/>
      <c r="D167" s="27"/>
      <c r="E167" s="25"/>
      <c r="F167" s="26" t="str">
        <f>IF(E167='Tablas AR'!$B$4,1,IF('Análisis de Riesgos'!E167='Tablas AR'!$B$5,2,IF('Análisis de Riesgos'!E167='Tablas AR'!$B$6,3,"")))</f>
        <v/>
      </c>
      <c r="G167" s="25"/>
      <c r="H167" s="26" t="str">
        <f>IF(G167='Tablas AR'!$B$10,1,IF('Análisis de Riesgos'!G167='Tablas AR'!$B$11,2,IF('Análisis de Riesgos'!G167='Tablas AR'!$B$12,3,"")))</f>
        <v/>
      </c>
      <c r="I167" s="26" t="str">
        <f t="shared" si="2"/>
        <v/>
      </c>
    </row>
    <row r="168" spans="2:9" x14ac:dyDescent="0.25">
      <c r="B168" s="27" t="str">
        <f>IFERROR(INDEX(Activos!$B$3:$C$16, MATCH(C168,Activos!$B$3:$B$16),2),"")</f>
        <v/>
      </c>
      <c r="C168" s="27"/>
      <c r="D168" s="27"/>
      <c r="E168" s="25"/>
      <c r="F168" s="26" t="str">
        <f>IF(E168='Tablas AR'!$B$4,1,IF('Análisis de Riesgos'!E168='Tablas AR'!$B$5,2,IF('Análisis de Riesgos'!E168='Tablas AR'!$B$6,3,"")))</f>
        <v/>
      </c>
      <c r="G168" s="25"/>
      <c r="H168" s="26" t="str">
        <f>IF(G168='Tablas AR'!$B$10,1,IF('Análisis de Riesgos'!G168='Tablas AR'!$B$11,2,IF('Análisis de Riesgos'!G168='Tablas AR'!$B$12,3,"")))</f>
        <v/>
      </c>
      <c r="I168" s="26" t="str">
        <f t="shared" si="2"/>
        <v/>
      </c>
    </row>
    <row r="169" spans="2:9" x14ac:dyDescent="0.25">
      <c r="B169" s="27" t="str">
        <f>IFERROR(INDEX(Activos!$B$3:$C$16, MATCH(C169,Activos!$B$3:$B$16),2),"")</f>
        <v/>
      </c>
      <c r="C169" s="27"/>
      <c r="D169" s="27"/>
      <c r="E169" s="25"/>
      <c r="F169" s="26" t="str">
        <f>IF(E169='Tablas AR'!$B$4,1,IF('Análisis de Riesgos'!E169='Tablas AR'!$B$5,2,IF('Análisis de Riesgos'!E169='Tablas AR'!$B$6,3,"")))</f>
        <v/>
      </c>
      <c r="G169" s="25"/>
      <c r="H169" s="26" t="str">
        <f>IF(G169='Tablas AR'!$B$10,1,IF('Análisis de Riesgos'!G169='Tablas AR'!$B$11,2,IF('Análisis de Riesgos'!G169='Tablas AR'!$B$12,3,"")))</f>
        <v/>
      </c>
      <c r="I169" s="26" t="str">
        <f t="shared" si="2"/>
        <v/>
      </c>
    </row>
    <row r="170" spans="2:9" x14ac:dyDescent="0.25">
      <c r="B170" s="27" t="str">
        <f>IFERROR(INDEX(Activos!$B$3:$C$16, MATCH(C170,Activos!$B$3:$B$16),2),"")</f>
        <v/>
      </c>
      <c r="C170" s="27"/>
      <c r="D170" s="27"/>
      <c r="E170" s="25"/>
      <c r="F170" s="26" t="str">
        <f>IF(E170='Tablas AR'!$B$4,1,IF('Análisis de Riesgos'!E170='Tablas AR'!$B$5,2,IF('Análisis de Riesgos'!E170='Tablas AR'!$B$6,3,"")))</f>
        <v/>
      </c>
      <c r="G170" s="25"/>
      <c r="H170" s="26" t="str">
        <f>IF(G170='Tablas AR'!$B$10,1,IF('Análisis de Riesgos'!G170='Tablas AR'!$B$11,2,IF('Análisis de Riesgos'!G170='Tablas AR'!$B$12,3,"")))</f>
        <v/>
      </c>
      <c r="I170" s="26" t="str">
        <f t="shared" si="2"/>
        <v/>
      </c>
    </row>
    <row r="171" spans="2:9" x14ac:dyDescent="0.25">
      <c r="B171" s="27" t="str">
        <f>IFERROR(INDEX(Activos!$B$3:$C$16, MATCH(C171,Activos!$B$3:$B$16),2),"")</f>
        <v/>
      </c>
      <c r="C171" s="27"/>
      <c r="D171" s="27"/>
      <c r="E171" s="25"/>
      <c r="F171" s="26" t="str">
        <f>IF(E171='Tablas AR'!$B$4,1,IF('Análisis de Riesgos'!E171='Tablas AR'!$B$5,2,IF('Análisis de Riesgos'!E171='Tablas AR'!$B$6,3,"")))</f>
        <v/>
      </c>
      <c r="G171" s="25"/>
      <c r="H171" s="26" t="str">
        <f>IF(G171='Tablas AR'!$B$10,1,IF('Análisis de Riesgos'!G171='Tablas AR'!$B$11,2,IF('Análisis de Riesgos'!G171='Tablas AR'!$B$12,3,"")))</f>
        <v/>
      </c>
      <c r="I171" s="26" t="str">
        <f t="shared" si="2"/>
        <v/>
      </c>
    </row>
    <row r="172" spans="2:9" x14ac:dyDescent="0.25">
      <c r="B172" s="27" t="str">
        <f>IFERROR(INDEX(Activos!$B$3:$C$16, MATCH(C172,Activos!$B$3:$B$16),2),"")</f>
        <v/>
      </c>
      <c r="C172" s="27"/>
      <c r="D172" s="27"/>
      <c r="E172" s="25"/>
      <c r="F172" s="26" t="str">
        <f>IF(E172='Tablas AR'!$B$4,1,IF('Análisis de Riesgos'!E172='Tablas AR'!$B$5,2,IF('Análisis de Riesgos'!E172='Tablas AR'!$B$6,3,"")))</f>
        <v/>
      </c>
      <c r="G172" s="25"/>
      <c r="H172" s="26" t="str">
        <f>IF(G172='Tablas AR'!$B$10,1,IF('Análisis de Riesgos'!G172='Tablas AR'!$B$11,2,IF('Análisis de Riesgos'!G172='Tablas AR'!$B$12,3,"")))</f>
        <v/>
      </c>
      <c r="I172" s="26" t="str">
        <f t="shared" si="2"/>
        <v/>
      </c>
    </row>
    <row r="173" spans="2:9" x14ac:dyDescent="0.25">
      <c r="B173" s="27" t="str">
        <f>IFERROR(INDEX(Activos!$B$3:$C$16, MATCH(C173,Activos!$B$3:$B$16),2),"")</f>
        <v/>
      </c>
      <c r="C173" s="27"/>
      <c r="D173" s="27"/>
      <c r="E173" s="25"/>
      <c r="F173" s="26" t="str">
        <f>IF(E173='Tablas AR'!$B$4,1,IF('Análisis de Riesgos'!E173='Tablas AR'!$B$5,2,IF('Análisis de Riesgos'!E173='Tablas AR'!$B$6,3,"")))</f>
        <v/>
      </c>
      <c r="G173" s="25"/>
      <c r="H173" s="26" t="str">
        <f>IF(G173='Tablas AR'!$B$10,1,IF('Análisis de Riesgos'!G173='Tablas AR'!$B$11,2,IF('Análisis de Riesgos'!G173='Tablas AR'!$B$12,3,"")))</f>
        <v/>
      </c>
      <c r="I173" s="26" t="str">
        <f t="shared" si="2"/>
        <v/>
      </c>
    </row>
    <row r="174" spans="2:9" x14ac:dyDescent="0.25">
      <c r="B174" s="27" t="str">
        <f>IFERROR(INDEX(Activos!$B$3:$C$16, MATCH(C174,Activos!$B$3:$B$16),2),"")</f>
        <v/>
      </c>
      <c r="C174" s="27"/>
      <c r="D174" s="27"/>
      <c r="E174" s="25"/>
      <c r="F174" s="26" t="str">
        <f>IF(E174='Tablas AR'!$B$4,1,IF('Análisis de Riesgos'!E174='Tablas AR'!$B$5,2,IF('Análisis de Riesgos'!E174='Tablas AR'!$B$6,3,"")))</f>
        <v/>
      </c>
      <c r="G174" s="25"/>
      <c r="H174" s="26" t="str">
        <f>IF(G174='Tablas AR'!$B$10,1,IF('Análisis de Riesgos'!G174='Tablas AR'!$B$11,2,IF('Análisis de Riesgos'!G174='Tablas AR'!$B$12,3,"")))</f>
        <v/>
      </c>
      <c r="I174" s="26" t="str">
        <f t="shared" si="2"/>
        <v/>
      </c>
    </row>
    <row r="175" spans="2:9" x14ac:dyDescent="0.25">
      <c r="B175" s="27" t="str">
        <f>IFERROR(INDEX(Activos!$B$3:$C$16, MATCH(C175,Activos!$B$3:$B$16),2),"")</f>
        <v/>
      </c>
      <c r="C175" s="27"/>
      <c r="D175" s="27"/>
      <c r="E175" s="25"/>
      <c r="F175" s="26" t="str">
        <f>IF(E175='Tablas AR'!$B$4,1,IF('Análisis de Riesgos'!E175='Tablas AR'!$B$5,2,IF('Análisis de Riesgos'!E175='Tablas AR'!$B$6,3,"")))</f>
        <v/>
      </c>
      <c r="G175" s="25"/>
      <c r="H175" s="26" t="str">
        <f>IF(G175='Tablas AR'!$B$10,1,IF('Análisis de Riesgos'!G175='Tablas AR'!$B$11,2,IF('Análisis de Riesgos'!G175='Tablas AR'!$B$12,3,"")))</f>
        <v/>
      </c>
      <c r="I175" s="26" t="str">
        <f t="shared" si="2"/>
        <v/>
      </c>
    </row>
    <row r="176" spans="2:9" x14ac:dyDescent="0.25">
      <c r="B176" s="27" t="str">
        <f>IFERROR(INDEX(Activos!$B$3:$C$16, MATCH(C176,Activos!$B$3:$B$16),2),"")</f>
        <v/>
      </c>
      <c r="C176" s="27"/>
      <c r="D176" s="27"/>
      <c r="E176" s="25"/>
      <c r="F176" s="26" t="str">
        <f>IF(E176='Tablas AR'!$B$4,1,IF('Análisis de Riesgos'!E176='Tablas AR'!$B$5,2,IF('Análisis de Riesgos'!E176='Tablas AR'!$B$6,3,"")))</f>
        <v/>
      </c>
      <c r="G176" s="25"/>
      <c r="H176" s="26" t="str">
        <f>IF(G176='Tablas AR'!$B$10,1,IF('Análisis de Riesgos'!G176='Tablas AR'!$B$11,2,IF('Análisis de Riesgos'!G176='Tablas AR'!$B$12,3,"")))</f>
        <v/>
      </c>
      <c r="I176" s="26" t="str">
        <f t="shared" si="2"/>
        <v/>
      </c>
    </row>
    <row r="177" spans="2:9" x14ac:dyDescent="0.25">
      <c r="B177" s="27" t="str">
        <f>IFERROR(INDEX(Activos!$B$3:$C$16, MATCH(C177,Activos!$B$3:$B$16),2),"")</f>
        <v/>
      </c>
      <c r="C177" s="27"/>
      <c r="D177" s="27"/>
      <c r="E177" s="25"/>
      <c r="F177" s="26" t="str">
        <f>IF(E177='Tablas AR'!$B$4,1,IF('Análisis de Riesgos'!E177='Tablas AR'!$B$5,2,IF('Análisis de Riesgos'!E177='Tablas AR'!$B$6,3,"")))</f>
        <v/>
      </c>
      <c r="G177" s="25"/>
      <c r="H177" s="26" t="str">
        <f>IF(G177='Tablas AR'!$B$10,1,IF('Análisis de Riesgos'!G177='Tablas AR'!$B$11,2,IF('Análisis de Riesgos'!G177='Tablas AR'!$B$12,3,"")))</f>
        <v/>
      </c>
      <c r="I177" s="26" t="str">
        <f t="shared" si="2"/>
        <v/>
      </c>
    </row>
    <row r="178" spans="2:9" x14ac:dyDescent="0.25">
      <c r="B178" s="27" t="str">
        <f>IFERROR(INDEX(Activos!$B$3:$C$16, MATCH(C178,Activos!$B$3:$B$16),2),"")</f>
        <v/>
      </c>
      <c r="C178" s="27"/>
      <c r="D178" s="27"/>
      <c r="E178" s="25"/>
      <c r="F178" s="26" t="str">
        <f>IF(E178='Tablas AR'!$B$4,1,IF('Análisis de Riesgos'!E178='Tablas AR'!$B$5,2,IF('Análisis de Riesgos'!E178='Tablas AR'!$B$6,3,"")))</f>
        <v/>
      </c>
      <c r="G178" s="25"/>
      <c r="H178" s="26" t="str">
        <f>IF(G178='Tablas AR'!$B$10,1,IF('Análisis de Riesgos'!G178='Tablas AR'!$B$11,2,IF('Análisis de Riesgos'!G178='Tablas AR'!$B$12,3,"")))</f>
        <v/>
      </c>
      <c r="I178" s="26" t="str">
        <f t="shared" si="2"/>
        <v/>
      </c>
    </row>
    <row r="179" spans="2:9" x14ac:dyDescent="0.25">
      <c r="B179" s="27" t="str">
        <f>IFERROR(INDEX(Activos!$B$3:$C$16, MATCH(C179,Activos!$B$3:$B$16),2),"")</f>
        <v/>
      </c>
      <c r="C179" s="27"/>
      <c r="D179" s="27"/>
      <c r="E179" s="25"/>
      <c r="F179" s="26" t="str">
        <f>IF(E179='Tablas AR'!$B$4,1,IF('Análisis de Riesgos'!E179='Tablas AR'!$B$5,2,IF('Análisis de Riesgos'!E179='Tablas AR'!$B$6,3,"")))</f>
        <v/>
      </c>
      <c r="G179" s="25"/>
      <c r="H179" s="26" t="str">
        <f>IF(G179='Tablas AR'!$B$10,1,IF('Análisis de Riesgos'!G179='Tablas AR'!$B$11,2,IF('Análisis de Riesgos'!G179='Tablas AR'!$B$12,3,"")))</f>
        <v/>
      </c>
      <c r="I179" s="26" t="str">
        <f t="shared" si="2"/>
        <v/>
      </c>
    </row>
    <row r="180" spans="2:9" x14ac:dyDescent="0.25">
      <c r="B180" s="27" t="str">
        <f>IFERROR(INDEX(Activos!$B$3:$C$16, MATCH(C180,Activos!$B$3:$B$16),2),"")</f>
        <v/>
      </c>
      <c r="C180" s="27"/>
      <c r="D180" s="27"/>
      <c r="E180" s="25"/>
      <c r="F180" s="26" t="str">
        <f>IF(E180='Tablas AR'!$B$4,1,IF('Análisis de Riesgos'!E180='Tablas AR'!$B$5,2,IF('Análisis de Riesgos'!E180='Tablas AR'!$B$6,3,"")))</f>
        <v/>
      </c>
      <c r="G180" s="25"/>
      <c r="H180" s="26" t="str">
        <f>IF(G180='Tablas AR'!$B$10,1,IF('Análisis de Riesgos'!G180='Tablas AR'!$B$11,2,IF('Análisis de Riesgos'!G180='Tablas AR'!$B$12,3,"")))</f>
        <v/>
      </c>
      <c r="I180" s="26" t="str">
        <f t="shared" si="2"/>
        <v/>
      </c>
    </row>
    <row r="181" spans="2:9" x14ac:dyDescent="0.25">
      <c r="B181" s="27" t="str">
        <f>IFERROR(INDEX(Activos!$B$3:$C$16, MATCH(C181,Activos!$B$3:$B$16),2),"")</f>
        <v/>
      </c>
      <c r="C181" s="27"/>
      <c r="D181" s="27"/>
      <c r="E181" s="25"/>
      <c r="F181" s="26" t="str">
        <f>IF(E181='Tablas AR'!$B$4,1,IF('Análisis de Riesgos'!E181='Tablas AR'!$B$5,2,IF('Análisis de Riesgos'!E181='Tablas AR'!$B$6,3,"")))</f>
        <v/>
      </c>
      <c r="G181" s="25"/>
      <c r="H181" s="26" t="str">
        <f>IF(G181='Tablas AR'!$B$10,1,IF('Análisis de Riesgos'!G181='Tablas AR'!$B$11,2,IF('Análisis de Riesgos'!G181='Tablas AR'!$B$12,3,"")))</f>
        <v/>
      </c>
      <c r="I181" s="26" t="str">
        <f t="shared" si="2"/>
        <v/>
      </c>
    </row>
    <row r="182" spans="2:9" x14ac:dyDescent="0.25">
      <c r="B182" s="27" t="str">
        <f>IFERROR(INDEX(Activos!$B$3:$C$16, MATCH(C182,Activos!$B$3:$B$16),2),"")</f>
        <v/>
      </c>
      <c r="C182" s="27"/>
      <c r="D182" s="27"/>
      <c r="E182" s="25"/>
      <c r="F182" s="26" t="str">
        <f>IF(E182='Tablas AR'!$B$4,1,IF('Análisis de Riesgos'!E182='Tablas AR'!$B$5,2,IF('Análisis de Riesgos'!E182='Tablas AR'!$B$6,3,"")))</f>
        <v/>
      </c>
      <c r="G182" s="25"/>
      <c r="H182" s="26" t="str">
        <f>IF(G182='Tablas AR'!$B$10,1,IF('Análisis de Riesgos'!G182='Tablas AR'!$B$11,2,IF('Análisis de Riesgos'!G182='Tablas AR'!$B$12,3,"")))</f>
        <v/>
      </c>
      <c r="I182" s="26" t="str">
        <f t="shared" si="2"/>
        <v/>
      </c>
    </row>
    <row r="183" spans="2:9" x14ac:dyDescent="0.25">
      <c r="B183" s="27" t="str">
        <f>IFERROR(INDEX(Activos!$B$3:$C$16, MATCH(C183,Activos!$B$3:$B$16),2),"")</f>
        <v/>
      </c>
      <c r="C183" s="27"/>
      <c r="D183" s="27"/>
      <c r="E183" s="25"/>
      <c r="F183" s="26" t="str">
        <f>IF(E183='Tablas AR'!$B$4,1,IF('Análisis de Riesgos'!E183='Tablas AR'!$B$5,2,IF('Análisis de Riesgos'!E183='Tablas AR'!$B$6,3,"")))</f>
        <v/>
      </c>
      <c r="G183" s="25"/>
      <c r="H183" s="26" t="str">
        <f>IF(G183='Tablas AR'!$B$10,1,IF('Análisis de Riesgos'!G183='Tablas AR'!$B$11,2,IF('Análisis de Riesgos'!G183='Tablas AR'!$B$12,3,"")))</f>
        <v/>
      </c>
      <c r="I183" s="26" t="str">
        <f t="shared" si="2"/>
        <v/>
      </c>
    </row>
    <row r="184" spans="2:9" x14ac:dyDescent="0.25">
      <c r="B184" s="27" t="str">
        <f>IFERROR(INDEX(Activos!$B$3:$C$16, MATCH(C184,Activos!$B$3:$B$16),2),"")</f>
        <v/>
      </c>
      <c r="C184" s="27"/>
      <c r="D184" s="27"/>
      <c r="E184" s="25"/>
      <c r="F184" s="26" t="str">
        <f>IF(E184='Tablas AR'!$B$4,1,IF('Análisis de Riesgos'!E184='Tablas AR'!$B$5,2,IF('Análisis de Riesgos'!E184='Tablas AR'!$B$6,3,"")))</f>
        <v/>
      </c>
      <c r="G184" s="25"/>
      <c r="H184" s="26" t="str">
        <f>IF(G184='Tablas AR'!$B$10,1,IF('Análisis de Riesgos'!G184='Tablas AR'!$B$11,2,IF('Análisis de Riesgos'!G184='Tablas AR'!$B$12,3,"")))</f>
        <v/>
      </c>
      <c r="I184" s="26" t="str">
        <f t="shared" si="2"/>
        <v/>
      </c>
    </row>
    <row r="185" spans="2:9" x14ac:dyDescent="0.25">
      <c r="B185" s="27" t="str">
        <f>IFERROR(INDEX(Activos!$B$3:$C$16, MATCH(C185,Activos!$B$3:$B$16),2),"")</f>
        <v/>
      </c>
      <c r="C185" s="27"/>
      <c r="D185" s="27"/>
      <c r="E185" s="25"/>
      <c r="F185" s="26" t="str">
        <f>IF(E185='Tablas AR'!$B$4,1,IF('Análisis de Riesgos'!E185='Tablas AR'!$B$5,2,IF('Análisis de Riesgos'!E185='Tablas AR'!$B$6,3,"")))</f>
        <v/>
      </c>
      <c r="G185" s="25"/>
      <c r="H185" s="26" t="str">
        <f>IF(G185='Tablas AR'!$B$10,1,IF('Análisis de Riesgos'!G185='Tablas AR'!$B$11,2,IF('Análisis de Riesgos'!G185='Tablas AR'!$B$12,3,"")))</f>
        <v/>
      </c>
      <c r="I185" s="26" t="str">
        <f t="shared" si="2"/>
        <v/>
      </c>
    </row>
    <row r="186" spans="2:9" x14ac:dyDescent="0.25">
      <c r="B186" s="27" t="str">
        <f>IFERROR(INDEX(Activos!$B$3:$C$16, MATCH(C186,Activos!$B$3:$B$16),2),"")</f>
        <v/>
      </c>
      <c r="C186" s="27"/>
      <c r="D186" s="27"/>
      <c r="E186" s="25"/>
      <c r="F186" s="26" t="str">
        <f>IF(E186='Tablas AR'!$B$4,1,IF('Análisis de Riesgos'!E186='Tablas AR'!$B$5,2,IF('Análisis de Riesgos'!E186='Tablas AR'!$B$6,3,"")))</f>
        <v/>
      </c>
      <c r="G186" s="25"/>
      <c r="H186" s="26" t="str">
        <f>IF(G186='Tablas AR'!$B$10,1,IF('Análisis de Riesgos'!G186='Tablas AR'!$B$11,2,IF('Análisis de Riesgos'!G186='Tablas AR'!$B$12,3,"")))</f>
        <v/>
      </c>
      <c r="I186" s="26" t="str">
        <f t="shared" si="2"/>
        <v/>
      </c>
    </row>
    <row r="187" spans="2:9" x14ac:dyDescent="0.25">
      <c r="B187" s="27" t="str">
        <f>IFERROR(INDEX(Activos!$B$3:$C$16, MATCH(C187,Activos!$B$3:$B$16),2),"")</f>
        <v/>
      </c>
      <c r="C187" s="27"/>
      <c r="D187" s="27"/>
      <c r="E187" s="25"/>
      <c r="F187" s="26" t="str">
        <f>IF(E187='Tablas AR'!$B$4,1,IF('Análisis de Riesgos'!E187='Tablas AR'!$B$5,2,IF('Análisis de Riesgos'!E187='Tablas AR'!$B$6,3,"")))</f>
        <v/>
      </c>
      <c r="G187" s="25"/>
      <c r="H187" s="26" t="str">
        <f>IF(G187='Tablas AR'!$B$10,1,IF('Análisis de Riesgos'!G187='Tablas AR'!$B$11,2,IF('Análisis de Riesgos'!G187='Tablas AR'!$B$12,3,"")))</f>
        <v/>
      </c>
      <c r="I187" s="26" t="str">
        <f t="shared" si="2"/>
        <v/>
      </c>
    </row>
    <row r="188" spans="2:9" x14ac:dyDescent="0.25">
      <c r="B188" s="27" t="str">
        <f>IFERROR(INDEX(Activos!$B$3:$C$16, MATCH(C188,Activos!$B$3:$B$16),2),"")</f>
        <v/>
      </c>
      <c r="C188" s="27"/>
      <c r="D188" s="27"/>
      <c r="E188" s="25"/>
      <c r="F188" s="26" t="str">
        <f>IF(E188='Tablas AR'!$B$4,1,IF('Análisis de Riesgos'!E188='Tablas AR'!$B$5,2,IF('Análisis de Riesgos'!E188='Tablas AR'!$B$6,3,"")))</f>
        <v/>
      </c>
      <c r="G188" s="25"/>
      <c r="H188" s="26" t="str">
        <f>IF(G188='Tablas AR'!$B$10,1,IF('Análisis de Riesgos'!G188='Tablas AR'!$B$11,2,IF('Análisis de Riesgos'!G188='Tablas AR'!$B$12,3,"")))</f>
        <v/>
      </c>
      <c r="I188" s="26" t="str">
        <f t="shared" si="2"/>
        <v/>
      </c>
    </row>
    <row r="189" spans="2:9" x14ac:dyDescent="0.25">
      <c r="B189" s="27" t="str">
        <f>IFERROR(INDEX(Activos!$B$3:$C$16, MATCH(C189,Activos!$B$3:$B$16),2),"")</f>
        <v/>
      </c>
      <c r="C189" s="27"/>
      <c r="D189" s="27"/>
      <c r="E189" s="25"/>
      <c r="F189" s="26" t="str">
        <f>IF(E189='Tablas AR'!$B$4,1,IF('Análisis de Riesgos'!E189='Tablas AR'!$B$5,2,IF('Análisis de Riesgos'!E189='Tablas AR'!$B$6,3,"")))</f>
        <v/>
      </c>
      <c r="G189" s="25"/>
      <c r="H189" s="26" t="str">
        <f>IF(G189='Tablas AR'!$B$10,1,IF('Análisis de Riesgos'!G189='Tablas AR'!$B$11,2,IF('Análisis de Riesgos'!G189='Tablas AR'!$B$12,3,"")))</f>
        <v/>
      </c>
      <c r="I189" s="26" t="str">
        <f t="shared" si="2"/>
        <v/>
      </c>
    </row>
    <row r="190" spans="2:9" x14ac:dyDescent="0.25">
      <c r="B190" s="27" t="str">
        <f>IFERROR(INDEX(Activos!$B$3:$C$16, MATCH(C190,Activos!$B$3:$B$16),2),"")</f>
        <v/>
      </c>
      <c r="C190" s="27"/>
      <c r="D190" s="27"/>
      <c r="E190" s="25"/>
      <c r="F190" s="26" t="str">
        <f>IF(E190='Tablas AR'!$B$4,1,IF('Análisis de Riesgos'!E190='Tablas AR'!$B$5,2,IF('Análisis de Riesgos'!E190='Tablas AR'!$B$6,3,"")))</f>
        <v/>
      </c>
      <c r="G190" s="25"/>
      <c r="H190" s="26" t="str">
        <f>IF(G190='Tablas AR'!$B$10,1,IF('Análisis de Riesgos'!G190='Tablas AR'!$B$11,2,IF('Análisis de Riesgos'!G190='Tablas AR'!$B$12,3,"")))</f>
        <v/>
      </c>
      <c r="I190" s="26" t="str">
        <f t="shared" si="2"/>
        <v/>
      </c>
    </row>
    <row r="191" spans="2:9" x14ac:dyDescent="0.25">
      <c r="B191" s="27" t="str">
        <f>IFERROR(INDEX(Activos!$B$3:$C$16, MATCH(C191,Activos!$B$3:$B$16),2),"")</f>
        <v/>
      </c>
      <c r="C191" s="27"/>
      <c r="D191" s="27"/>
      <c r="E191" s="25"/>
      <c r="F191" s="26" t="str">
        <f>IF(E191='Tablas AR'!$B$4,1,IF('Análisis de Riesgos'!E191='Tablas AR'!$B$5,2,IF('Análisis de Riesgos'!E191='Tablas AR'!$B$6,3,"")))</f>
        <v/>
      </c>
      <c r="G191" s="25"/>
      <c r="H191" s="26" t="str">
        <f>IF(G191='Tablas AR'!$B$10,1,IF('Análisis de Riesgos'!G191='Tablas AR'!$B$11,2,IF('Análisis de Riesgos'!G191='Tablas AR'!$B$12,3,"")))</f>
        <v/>
      </c>
      <c r="I191" s="26" t="str">
        <f t="shared" si="2"/>
        <v/>
      </c>
    </row>
    <row r="192" spans="2:9" x14ac:dyDescent="0.25">
      <c r="B192" s="27" t="str">
        <f>IFERROR(INDEX(Activos!$B$3:$C$16, MATCH(C192,Activos!$B$3:$B$16),2),"")</f>
        <v/>
      </c>
      <c r="C192" s="27"/>
      <c r="D192" s="27"/>
      <c r="E192" s="25"/>
      <c r="F192" s="26" t="str">
        <f>IF(E192='Tablas AR'!$B$4,1,IF('Análisis de Riesgos'!E192='Tablas AR'!$B$5,2,IF('Análisis de Riesgos'!E192='Tablas AR'!$B$6,3,"")))</f>
        <v/>
      </c>
      <c r="G192" s="25"/>
      <c r="H192" s="26" t="str">
        <f>IF(G192='Tablas AR'!$B$10,1,IF('Análisis de Riesgos'!G192='Tablas AR'!$B$11,2,IF('Análisis de Riesgos'!G192='Tablas AR'!$B$12,3,"")))</f>
        <v/>
      </c>
      <c r="I192" s="26" t="str">
        <f t="shared" si="2"/>
        <v/>
      </c>
    </row>
    <row r="193" spans="2:9" x14ac:dyDescent="0.25">
      <c r="B193" s="27" t="str">
        <f>IFERROR(INDEX(Activos!$B$3:$C$16, MATCH(C193,Activos!$B$3:$B$16),2),"")</f>
        <v/>
      </c>
      <c r="C193" s="27"/>
      <c r="D193" s="27"/>
      <c r="E193" s="25"/>
      <c r="F193" s="26" t="str">
        <f>IF(E193='Tablas AR'!$B$4,1,IF('Análisis de Riesgos'!E193='Tablas AR'!$B$5,2,IF('Análisis de Riesgos'!E193='Tablas AR'!$B$6,3,"")))</f>
        <v/>
      </c>
      <c r="G193" s="25"/>
      <c r="H193" s="26" t="str">
        <f>IF(G193='Tablas AR'!$B$10,1,IF('Análisis de Riesgos'!G193='Tablas AR'!$B$11,2,IF('Análisis de Riesgos'!G193='Tablas AR'!$B$12,3,"")))</f>
        <v/>
      </c>
      <c r="I193" s="26" t="str">
        <f t="shared" si="2"/>
        <v/>
      </c>
    </row>
    <row r="194" spans="2:9" x14ac:dyDescent="0.25">
      <c r="B194" s="27" t="str">
        <f>IFERROR(INDEX(Activos!$B$3:$C$16, MATCH(C194,Activos!$B$3:$B$16),2),"")</f>
        <v/>
      </c>
      <c r="C194" s="27"/>
      <c r="D194" s="27"/>
      <c r="E194" s="25"/>
      <c r="F194" s="26" t="str">
        <f>IF(E194='Tablas AR'!$B$4,1,IF('Análisis de Riesgos'!E194='Tablas AR'!$B$5,2,IF('Análisis de Riesgos'!E194='Tablas AR'!$B$6,3,"")))</f>
        <v/>
      </c>
      <c r="G194" s="25"/>
      <c r="H194" s="26" t="str">
        <f>IF(G194='Tablas AR'!$B$10,1,IF('Análisis de Riesgos'!G194='Tablas AR'!$B$11,2,IF('Análisis de Riesgos'!G194='Tablas AR'!$B$12,3,"")))</f>
        <v/>
      </c>
      <c r="I194" s="26" t="str">
        <f t="shared" si="2"/>
        <v/>
      </c>
    </row>
    <row r="195" spans="2:9" x14ac:dyDescent="0.25">
      <c r="B195" s="27" t="str">
        <f>IFERROR(INDEX(Activos!$B$3:$C$16, MATCH(C195,Activos!$B$3:$B$16),2),"")</f>
        <v/>
      </c>
      <c r="C195" s="27"/>
      <c r="D195" s="27"/>
      <c r="E195" s="25"/>
      <c r="F195" s="26" t="str">
        <f>IF(E195='Tablas AR'!$B$4,1,IF('Análisis de Riesgos'!E195='Tablas AR'!$B$5,2,IF('Análisis de Riesgos'!E195='Tablas AR'!$B$6,3,"")))</f>
        <v/>
      </c>
      <c r="G195" s="25"/>
      <c r="H195" s="26" t="str">
        <f>IF(G195='Tablas AR'!$B$10,1,IF('Análisis de Riesgos'!G195='Tablas AR'!$B$11,2,IF('Análisis de Riesgos'!G195='Tablas AR'!$B$12,3,"")))</f>
        <v/>
      </c>
      <c r="I195" s="26" t="str">
        <f t="shared" si="2"/>
        <v/>
      </c>
    </row>
    <row r="196" spans="2:9" x14ac:dyDescent="0.25">
      <c r="B196" s="27" t="str">
        <f>IFERROR(INDEX(Activos!$B$3:$C$16, MATCH(C196,Activos!$B$3:$B$16),2),"")</f>
        <v/>
      </c>
      <c r="C196" s="27"/>
      <c r="D196" s="27"/>
      <c r="E196" s="25"/>
      <c r="F196" s="26" t="str">
        <f>IF(E196='Tablas AR'!$B$4,1,IF('Análisis de Riesgos'!E196='Tablas AR'!$B$5,2,IF('Análisis de Riesgos'!E196='Tablas AR'!$B$6,3,"")))</f>
        <v/>
      </c>
      <c r="G196" s="25"/>
      <c r="H196" s="26" t="str">
        <f>IF(G196='Tablas AR'!$B$10,1,IF('Análisis de Riesgos'!G196='Tablas AR'!$B$11,2,IF('Análisis de Riesgos'!G196='Tablas AR'!$B$12,3,"")))</f>
        <v/>
      </c>
      <c r="I196" s="26" t="str">
        <f t="shared" ref="I196:I259" si="3" xml:space="preserve"> IFERROR(F196*H196,"")</f>
        <v/>
      </c>
    </row>
    <row r="197" spans="2:9" x14ac:dyDescent="0.25">
      <c r="B197" s="27" t="str">
        <f>IFERROR(INDEX(Activos!$B$3:$C$16, MATCH(C197,Activos!$B$3:$B$16),2),"")</f>
        <v/>
      </c>
      <c r="C197" s="27"/>
      <c r="D197" s="27"/>
      <c r="E197" s="25"/>
      <c r="F197" s="26" t="str">
        <f>IF(E197='Tablas AR'!$B$4,1,IF('Análisis de Riesgos'!E197='Tablas AR'!$B$5,2,IF('Análisis de Riesgos'!E197='Tablas AR'!$B$6,3,"")))</f>
        <v/>
      </c>
      <c r="G197" s="25"/>
      <c r="H197" s="26" t="str">
        <f>IF(G197='Tablas AR'!$B$10,1,IF('Análisis de Riesgos'!G197='Tablas AR'!$B$11,2,IF('Análisis de Riesgos'!G197='Tablas AR'!$B$12,3,"")))</f>
        <v/>
      </c>
      <c r="I197" s="26" t="str">
        <f t="shared" si="3"/>
        <v/>
      </c>
    </row>
    <row r="198" spans="2:9" x14ac:dyDescent="0.25">
      <c r="B198" s="27" t="str">
        <f>IFERROR(INDEX(Activos!$B$3:$C$16, MATCH(C198,Activos!$B$3:$B$16),2),"")</f>
        <v/>
      </c>
      <c r="C198" s="27"/>
      <c r="D198" s="27"/>
      <c r="E198" s="25"/>
      <c r="F198" s="26" t="str">
        <f>IF(E198='Tablas AR'!$B$4,1,IF('Análisis de Riesgos'!E198='Tablas AR'!$B$5,2,IF('Análisis de Riesgos'!E198='Tablas AR'!$B$6,3,"")))</f>
        <v/>
      </c>
      <c r="G198" s="25"/>
      <c r="H198" s="26" t="str">
        <f>IF(G198='Tablas AR'!$B$10,1,IF('Análisis de Riesgos'!G198='Tablas AR'!$B$11,2,IF('Análisis de Riesgos'!G198='Tablas AR'!$B$12,3,"")))</f>
        <v/>
      </c>
      <c r="I198" s="26" t="str">
        <f t="shared" si="3"/>
        <v/>
      </c>
    </row>
    <row r="199" spans="2:9" x14ac:dyDescent="0.25">
      <c r="B199" s="27" t="str">
        <f>IFERROR(INDEX(Activos!$B$3:$C$16, MATCH(C199,Activos!$B$3:$B$16),2),"")</f>
        <v/>
      </c>
      <c r="C199" s="27"/>
      <c r="D199" s="27"/>
      <c r="E199" s="25"/>
      <c r="F199" s="26" t="str">
        <f>IF(E199='Tablas AR'!$B$4,1,IF('Análisis de Riesgos'!E199='Tablas AR'!$B$5,2,IF('Análisis de Riesgos'!E199='Tablas AR'!$B$6,3,"")))</f>
        <v/>
      </c>
      <c r="G199" s="25"/>
      <c r="H199" s="26" t="str">
        <f>IF(G199='Tablas AR'!$B$10,1,IF('Análisis de Riesgos'!G199='Tablas AR'!$B$11,2,IF('Análisis de Riesgos'!G199='Tablas AR'!$B$12,3,"")))</f>
        <v/>
      </c>
      <c r="I199" s="26" t="str">
        <f t="shared" si="3"/>
        <v/>
      </c>
    </row>
    <row r="200" spans="2:9" x14ac:dyDescent="0.25">
      <c r="B200" s="27" t="str">
        <f>IFERROR(INDEX(Activos!$B$3:$C$16, MATCH(C200,Activos!$B$3:$B$16),2),"")</f>
        <v/>
      </c>
      <c r="C200" s="27"/>
      <c r="D200" s="27"/>
      <c r="E200" s="25"/>
      <c r="F200" s="26" t="str">
        <f>IF(E200='Tablas AR'!$B$4,1,IF('Análisis de Riesgos'!E200='Tablas AR'!$B$5,2,IF('Análisis de Riesgos'!E200='Tablas AR'!$B$6,3,"")))</f>
        <v/>
      </c>
      <c r="G200" s="25"/>
      <c r="H200" s="26" t="str">
        <f>IF(G200='Tablas AR'!$B$10,1,IF('Análisis de Riesgos'!G200='Tablas AR'!$B$11,2,IF('Análisis de Riesgos'!G200='Tablas AR'!$B$12,3,"")))</f>
        <v/>
      </c>
      <c r="I200" s="26" t="str">
        <f t="shared" si="3"/>
        <v/>
      </c>
    </row>
    <row r="201" spans="2:9" x14ac:dyDescent="0.25">
      <c r="B201" s="27" t="str">
        <f>IFERROR(INDEX(Activos!$B$3:$C$16, MATCH(C201,Activos!$B$3:$B$16),2),"")</f>
        <v/>
      </c>
      <c r="C201" s="27"/>
      <c r="D201" s="27"/>
      <c r="E201" s="25"/>
      <c r="F201" s="26" t="str">
        <f>IF(E201='Tablas AR'!$B$4,1,IF('Análisis de Riesgos'!E201='Tablas AR'!$B$5,2,IF('Análisis de Riesgos'!E201='Tablas AR'!$B$6,3,"")))</f>
        <v/>
      </c>
      <c r="G201" s="25"/>
      <c r="H201" s="26" t="str">
        <f>IF(G201='Tablas AR'!$B$10,1,IF('Análisis de Riesgos'!G201='Tablas AR'!$B$11,2,IF('Análisis de Riesgos'!G201='Tablas AR'!$B$12,3,"")))</f>
        <v/>
      </c>
      <c r="I201" s="26" t="str">
        <f t="shared" si="3"/>
        <v/>
      </c>
    </row>
    <row r="202" spans="2:9" x14ac:dyDescent="0.25">
      <c r="B202" s="27" t="str">
        <f>IFERROR(INDEX(Activos!$B$3:$C$16, MATCH(C202,Activos!$B$3:$B$16),2),"")</f>
        <v/>
      </c>
      <c r="C202" s="27"/>
      <c r="D202" s="27"/>
      <c r="E202" s="25"/>
      <c r="F202" s="26" t="str">
        <f>IF(E202='Tablas AR'!$B$4,1,IF('Análisis de Riesgos'!E202='Tablas AR'!$B$5,2,IF('Análisis de Riesgos'!E202='Tablas AR'!$B$6,3,"")))</f>
        <v/>
      </c>
      <c r="G202" s="25"/>
      <c r="H202" s="26" t="str">
        <f>IF(G202='Tablas AR'!$B$10,1,IF('Análisis de Riesgos'!G202='Tablas AR'!$B$11,2,IF('Análisis de Riesgos'!G202='Tablas AR'!$B$12,3,"")))</f>
        <v/>
      </c>
      <c r="I202" s="26" t="str">
        <f t="shared" si="3"/>
        <v/>
      </c>
    </row>
    <row r="203" spans="2:9" x14ac:dyDescent="0.25">
      <c r="B203" s="27" t="str">
        <f>IFERROR(INDEX(Activos!$B$3:$C$16, MATCH(C203,Activos!$B$3:$B$16),2),"")</f>
        <v/>
      </c>
      <c r="C203" s="27"/>
      <c r="D203" s="27"/>
      <c r="E203" s="25"/>
      <c r="F203" s="26" t="str">
        <f>IF(E203='Tablas AR'!$B$4,1,IF('Análisis de Riesgos'!E203='Tablas AR'!$B$5,2,IF('Análisis de Riesgos'!E203='Tablas AR'!$B$6,3,"")))</f>
        <v/>
      </c>
      <c r="G203" s="25"/>
      <c r="H203" s="26" t="str">
        <f>IF(G203='Tablas AR'!$B$10,1,IF('Análisis de Riesgos'!G203='Tablas AR'!$B$11,2,IF('Análisis de Riesgos'!G203='Tablas AR'!$B$12,3,"")))</f>
        <v/>
      </c>
      <c r="I203" s="26" t="str">
        <f t="shared" si="3"/>
        <v/>
      </c>
    </row>
    <row r="204" spans="2:9" x14ac:dyDescent="0.25">
      <c r="B204" s="27" t="str">
        <f>IFERROR(INDEX(Activos!$B$3:$C$16, MATCH(C204,Activos!$B$3:$B$16),2),"")</f>
        <v/>
      </c>
      <c r="C204" s="27"/>
      <c r="D204" s="27"/>
      <c r="E204" s="25"/>
      <c r="F204" s="26" t="str">
        <f>IF(E204='Tablas AR'!$B$4,1,IF('Análisis de Riesgos'!E204='Tablas AR'!$B$5,2,IF('Análisis de Riesgos'!E204='Tablas AR'!$B$6,3,"")))</f>
        <v/>
      </c>
      <c r="G204" s="25"/>
      <c r="H204" s="26" t="str">
        <f>IF(G204='Tablas AR'!$B$10,1,IF('Análisis de Riesgos'!G204='Tablas AR'!$B$11,2,IF('Análisis de Riesgos'!G204='Tablas AR'!$B$12,3,"")))</f>
        <v/>
      </c>
      <c r="I204" s="26" t="str">
        <f t="shared" si="3"/>
        <v/>
      </c>
    </row>
    <row r="205" spans="2:9" x14ac:dyDescent="0.25">
      <c r="B205" s="27" t="str">
        <f>IFERROR(INDEX(Activos!$B$3:$C$16, MATCH(C205,Activos!$B$3:$B$16),2),"")</f>
        <v/>
      </c>
      <c r="C205" s="27"/>
      <c r="D205" s="27"/>
      <c r="E205" s="25"/>
      <c r="F205" s="26" t="str">
        <f>IF(E205='Tablas AR'!$B$4,1,IF('Análisis de Riesgos'!E205='Tablas AR'!$B$5,2,IF('Análisis de Riesgos'!E205='Tablas AR'!$B$6,3,"")))</f>
        <v/>
      </c>
      <c r="G205" s="25"/>
      <c r="H205" s="26" t="str">
        <f>IF(G205='Tablas AR'!$B$10,1,IF('Análisis de Riesgos'!G205='Tablas AR'!$B$11,2,IF('Análisis de Riesgos'!G205='Tablas AR'!$B$12,3,"")))</f>
        <v/>
      </c>
      <c r="I205" s="26" t="str">
        <f t="shared" si="3"/>
        <v/>
      </c>
    </row>
    <row r="206" spans="2:9" x14ac:dyDescent="0.25">
      <c r="B206" s="27" t="str">
        <f>IFERROR(INDEX(Activos!$B$3:$C$16, MATCH(C206,Activos!$B$3:$B$16),2),"")</f>
        <v/>
      </c>
      <c r="C206" s="27"/>
      <c r="D206" s="27"/>
      <c r="E206" s="25"/>
      <c r="F206" s="26" t="str">
        <f>IF(E206='Tablas AR'!$B$4,1,IF('Análisis de Riesgos'!E206='Tablas AR'!$B$5,2,IF('Análisis de Riesgos'!E206='Tablas AR'!$B$6,3,"")))</f>
        <v/>
      </c>
      <c r="G206" s="25"/>
      <c r="H206" s="26" t="str">
        <f>IF(G206='Tablas AR'!$B$10,1,IF('Análisis de Riesgos'!G206='Tablas AR'!$B$11,2,IF('Análisis de Riesgos'!G206='Tablas AR'!$B$12,3,"")))</f>
        <v/>
      </c>
      <c r="I206" s="26" t="str">
        <f t="shared" si="3"/>
        <v/>
      </c>
    </row>
    <row r="207" spans="2:9" x14ac:dyDescent="0.25">
      <c r="B207" s="27" t="str">
        <f>IFERROR(INDEX(Activos!$B$3:$C$16, MATCH(C207,Activos!$B$3:$B$16),2),"")</f>
        <v/>
      </c>
      <c r="C207" s="27"/>
      <c r="D207" s="27"/>
      <c r="E207" s="25"/>
      <c r="F207" s="26" t="str">
        <f>IF(E207='Tablas AR'!$B$4,1,IF('Análisis de Riesgos'!E207='Tablas AR'!$B$5,2,IF('Análisis de Riesgos'!E207='Tablas AR'!$B$6,3,"")))</f>
        <v/>
      </c>
      <c r="G207" s="25"/>
      <c r="H207" s="26" t="str">
        <f>IF(G207='Tablas AR'!$B$10,1,IF('Análisis de Riesgos'!G207='Tablas AR'!$B$11,2,IF('Análisis de Riesgos'!G207='Tablas AR'!$B$12,3,"")))</f>
        <v/>
      </c>
      <c r="I207" s="26" t="str">
        <f t="shared" si="3"/>
        <v/>
      </c>
    </row>
    <row r="208" spans="2:9" x14ac:dyDescent="0.25">
      <c r="B208" s="27" t="str">
        <f>IFERROR(INDEX(Activos!$B$3:$C$16, MATCH(C208,Activos!$B$3:$B$16),2),"")</f>
        <v/>
      </c>
      <c r="C208" s="27"/>
      <c r="D208" s="27"/>
      <c r="E208" s="25"/>
      <c r="F208" s="26" t="str">
        <f>IF(E208='Tablas AR'!$B$4,1,IF('Análisis de Riesgos'!E208='Tablas AR'!$B$5,2,IF('Análisis de Riesgos'!E208='Tablas AR'!$B$6,3,"")))</f>
        <v/>
      </c>
      <c r="G208" s="25"/>
      <c r="H208" s="26" t="str">
        <f>IF(G208='Tablas AR'!$B$10,1,IF('Análisis de Riesgos'!G208='Tablas AR'!$B$11,2,IF('Análisis de Riesgos'!G208='Tablas AR'!$B$12,3,"")))</f>
        <v/>
      </c>
      <c r="I208" s="26" t="str">
        <f t="shared" si="3"/>
        <v/>
      </c>
    </row>
    <row r="209" spans="2:9" x14ac:dyDescent="0.25">
      <c r="B209" s="27" t="str">
        <f>IFERROR(INDEX(Activos!$B$3:$C$16, MATCH(C209,Activos!$B$3:$B$16),2),"")</f>
        <v/>
      </c>
      <c r="C209" s="27"/>
      <c r="D209" s="27"/>
      <c r="E209" s="25"/>
      <c r="F209" s="26" t="str">
        <f>IF(E209='Tablas AR'!$B$4,1,IF('Análisis de Riesgos'!E209='Tablas AR'!$B$5,2,IF('Análisis de Riesgos'!E209='Tablas AR'!$B$6,3,"")))</f>
        <v/>
      </c>
      <c r="G209" s="25"/>
      <c r="H209" s="26" t="str">
        <f>IF(G209='Tablas AR'!$B$10,1,IF('Análisis de Riesgos'!G209='Tablas AR'!$B$11,2,IF('Análisis de Riesgos'!G209='Tablas AR'!$B$12,3,"")))</f>
        <v/>
      </c>
      <c r="I209" s="26" t="str">
        <f t="shared" si="3"/>
        <v/>
      </c>
    </row>
    <row r="210" spans="2:9" x14ac:dyDescent="0.25">
      <c r="B210" s="27" t="str">
        <f>IFERROR(INDEX(Activos!$B$3:$C$16, MATCH(C210,Activos!$B$3:$B$16),2),"")</f>
        <v/>
      </c>
      <c r="C210" s="27"/>
      <c r="D210" s="27"/>
      <c r="E210" s="25"/>
      <c r="F210" s="26" t="str">
        <f>IF(E210='Tablas AR'!$B$4,1,IF('Análisis de Riesgos'!E210='Tablas AR'!$B$5,2,IF('Análisis de Riesgos'!E210='Tablas AR'!$B$6,3,"")))</f>
        <v/>
      </c>
      <c r="G210" s="25"/>
      <c r="H210" s="26" t="str">
        <f>IF(G210='Tablas AR'!$B$10,1,IF('Análisis de Riesgos'!G210='Tablas AR'!$B$11,2,IF('Análisis de Riesgos'!G210='Tablas AR'!$B$12,3,"")))</f>
        <v/>
      </c>
      <c r="I210" s="26" t="str">
        <f t="shared" si="3"/>
        <v/>
      </c>
    </row>
    <row r="211" spans="2:9" x14ac:dyDescent="0.25">
      <c r="B211" s="27" t="str">
        <f>IFERROR(INDEX(Activos!$B$3:$C$16, MATCH(C211,Activos!$B$3:$B$16),2),"")</f>
        <v/>
      </c>
      <c r="C211" s="27"/>
      <c r="D211" s="27"/>
      <c r="E211" s="25"/>
      <c r="F211" s="26" t="str">
        <f>IF(E211='Tablas AR'!$B$4,1,IF('Análisis de Riesgos'!E211='Tablas AR'!$B$5,2,IF('Análisis de Riesgos'!E211='Tablas AR'!$B$6,3,"")))</f>
        <v/>
      </c>
      <c r="G211" s="25"/>
      <c r="H211" s="26" t="str">
        <f>IF(G211='Tablas AR'!$B$10,1,IF('Análisis de Riesgos'!G211='Tablas AR'!$B$11,2,IF('Análisis de Riesgos'!G211='Tablas AR'!$B$12,3,"")))</f>
        <v/>
      </c>
      <c r="I211" s="26" t="str">
        <f t="shared" si="3"/>
        <v/>
      </c>
    </row>
    <row r="212" spans="2:9" x14ac:dyDescent="0.25">
      <c r="B212" s="27" t="str">
        <f>IFERROR(INDEX(Activos!$B$3:$C$16, MATCH(C212,Activos!$B$3:$B$16),2),"")</f>
        <v/>
      </c>
      <c r="C212" s="27"/>
      <c r="D212" s="27"/>
      <c r="E212" s="25"/>
      <c r="F212" s="26" t="str">
        <f>IF(E212='Tablas AR'!$B$4,1,IF('Análisis de Riesgos'!E212='Tablas AR'!$B$5,2,IF('Análisis de Riesgos'!E212='Tablas AR'!$B$6,3,"")))</f>
        <v/>
      </c>
      <c r="G212" s="25"/>
      <c r="H212" s="26" t="str">
        <f>IF(G212='Tablas AR'!$B$10,1,IF('Análisis de Riesgos'!G212='Tablas AR'!$B$11,2,IF('Análisis de Riesgos'!G212='Tablas AR'!$B$12,3,"")))</f>
        <v/>
      </c>
      <c r="I212" s="26" t="str">
        <f t="shared" si="3"/>
        <v/>
      </c>
    </row>
    <row r="213" spans="2:9" x14ac:dyDescent="0.25">
      <c r="B213" s="27" t="str">
        <f>IFERROR(INDEX(Activos!$B$3:$C$16, MATCH(C213,Activos!$B$3:$B$16),2),"")</f>
        <v/>
      </c>
      <c r="C213" s="27"/>
      <c r="D213" s="27"/>
      <c r="E213" s="25"/>
      <c r="F213" s="26" t="str">
        <f>IF(E213='Tablas AR'!$B$4,1,IF('Análisis de Riesgos'!E213='Tablas AR'!$B$5,2,IF('Análisis de Riesgos'!E213='Tablas AR'!$B$6,3,"")))</f>
        <v/>
      </c>
      <c r="G213" s="25"/>
      <c r="H213" s="26" t="str">
        <f>IF(G213='Tablas AR'!$B$10,1,IF('Análisis de Riesgos'!G213='Tablas AR'!$B$11,2,IF('Análisis de Riesgos'!G213='Tablas AR'!$B$12,3,"")))</f>
        <v/>
      </c>
      <c r="I213" s="26" t="str">
        <f t="shared" si="3"/>
        <v/>
      </c>
    </row>
    <row r="214" spans="2:9" x14ac:dyDescent="0.25">
      <c r="B214" s="27" t="str">
        <f>IFERROR(INDEX(Activos!$B$3:$C$16, MATCH(C214,Activos!$B$3:$B$16),2),"")</f>
        <v/>
      </c>
      <c r="C214" s="27"/>
      <c r="D214" s="27"/>
      <c r="E214" s="25"/>
      <c r="F214" s="26" t="str">
        <f>IF(E214='Tablas AR'!$B$4,1,IF('Análisis de Riesgos'!E214='Tablas AR'!$B$5,2,IF('Análisis de Riesgos'!E214='Tablas AR'!$B$6,3,"")))</f>
        <v/>
      </c>
      <c r="G214" s="25"/>
      <c r="H214" s="26" t="str">
        <f>IF(G214='Tablas AR'!$B$10,1,IF('Análisis de Riesgos'!G214='Tablas AR'!$B$11,2,IF('Análisis de Riesgos'!G214='Tablas AR'!$B$12,3,"")))</f>
        <v/>
      </c>
      <c r="I214" s="26" t="str">
        <f t="shared" si="3"/>
        <v/>
      </c>
    </row>
    <row r="215" spans="2:9" x14ac:dyDescent="0.25">
      <c r="B215" s="27" t="str">
        <f>IFERROR(INDEX(Activos!$B$3:$C$16, MATCH(C215,Activos!$B$3:$B$16),2),"")</f>
        <v/>
      </c>
      <c r="C215" s="27"/>
      <c r="D215" s="27"/>
      <c r="E215" s="25"/>
      <c r="F215" s="26" t="str">
        <f>IF(E215='Tablas AR'!$B$4,1,IF('Análisis de Riesgos'!E215='Tablas AR'!$B$5,2,IF('Análisis de Riesgos'!E215='Tablas AR'!$B$6,3,"")))</f>
        <v/>
      </c>
      <c r="G215" s="25"/>
      <c r="H215" s="26" t="str">
        <f>IF(G215='Tablas AR'!$B$10,1,IF('Análisis de Riesgos'!G215='Tablas AR'!$B$11,2,IF('Análisis de Riesgos'!G215='Tablas AR'!$B$12,3,"")))</f>
        <v/>
      </c>
      <c r="I215" s="26" t="str">
        <f t="shared" si="3"/>
        <v/>
      </c>
    </row>
    <row r="216" spans="2:9" x14ac:dyDescent="0.25">
      <c r="B216" s="27" t="str">
        <f>IFERROR(INDEX(Activos!$B$3:$C$16, MATCH(C216,Activos!$B$3:$B$16),2),"")</f>
        <v/>
      </c>
      <c r="C216" s="27"/>
      <c r="D216" s="27"/>
      <c r="E216" s="25"/>
      <c r="F216" s="26" t="str">
        <f>IF(E216='Tablas AR'!$B$4,1,IF('Análisis de Riesgos'!E216='Tablas AR'!$B$5,2,IF('Análisis de Riesgos'!E216='Tablas AR'!$B$6,3,"")))</f>
        <v/>
      </c>
      <c r="G216" s="25"/>
      <c r="H216" s="26" t="str">
        <f>IF(G216='Tablas AR'!$B$10,1,IF('Análisis de Riesgos'!G216='Tablas AR'!$B$11,2,IF('Análisis de Riesgos'!G216='Tablas AR'!$B$12,3,"")))</f>
        <v/>
      </c>
      <c r="I216" s="26" t="str">
        <f t="shared" si="3"/>
        <v/>
      </c>
    </row>
    <row r="217" spans="2:9" x14ac:dyDescent="0.25">
      <c r="B217" s="27" t="str">
        <f>IFERROR(INDEX(Activos!$B$3:$C$16, MATCH(C217,Activos!$B$3:$B$16),2),"")</f>
        <v/>
      </c>
      <c r="C217" s="27"/>
      <c r="D217" s="27"/>
      <c r="E217" s="25"/>
      <c r="F217" s="26" t="str">
        <f>IF(E217='Tablas AR'!$B$4,1,IF('Análisis de Riesgos'!E217='Tablas AR'!$B$5,2,IF('Análisis de Riesgos'!E217='Tablas AR'!$B$6,3,"")))</f>
        <v/>
      </c>
      <c r="G217" s="25"/>
      <c r="H217" s="26" t="str">
        <f>IF(G217='Tablas AR'!$B$10,1,IF('Análisis de Riesgos'!G217='Tablas AR'!$B$11,2,IF('Análisis de Riesgos'!G217='Tablas AR'!$B$12,3,"")))</f>
        <v/>
      </c>
      <c r="I217" s="26" t="str">
        <f t="shared" si="3"/>
        <v/>
      </c>
    </row>
    <row r="218" spans="2:9" x14ac:dyDescent="0.25">
      <c r="B218" s="27" t="str">
        <f>IFERROR(INDEX(Activos!$B$3:$C$16, MATCH(C218,Activos!$B$3:$B$16),2),"")</f>
        <v/>
      </c>
      <c r="C218" s="27"/>
      <c r="D218" s="27"/>
      <c r="E218" s="25"/>
      <c r="F218" s="26" t="str">
        <f>IF(E218='Tablas AR'!$B$4,1,IF('Análisis de Riesgos'!E218='Tablas AR'!$B$5,2,IF('Análisis de Riesgos'!E218='Tablas AR'!$B$6,3,"")))</f>
        <v/>
      </c>
      <c r="G218" s="25"/>
      <c r="H218" s="26" t="str">
        <f>IF(G218='Tablas AR'!$B$10,1,IF('Análisis de Riesgos'!G218='Tablas AR'!$B$11,2,IF('Análisis de Riesgos'!G218='Tablas AR'!$B$12,3,"")))</f>
        <v/>
      </c>
      <c r="I218" s="26" t="str">
        <f t="shared" si="3"/>
        <v/>
      </c>
    </row>
    <row r="219" spans="2:9" x14ac:dyDescent="0.25">
      <c r="B219" s="27" t="str">
        <f>IFERROR(INDEX(Activos!$B$3:$C$16, MATCH(C219,Activos!$B$3:$B$16),2),"")</f>
        <v/>
      </c>
      <c r="C219" s="27"/>
      <c r="D219" s="27"/>
      <c r="E219" s="25"/>
      <c r="F219" s="26" t="str">
        <f>IF(E219='Tablas AR'!$B$4,1,IF('Análisis de Riesgos'!E219='Tablas AR'!$B$5,2,IF('Análisis de Riesgos'!E219='Tablas AR'!$B$6,3,"")))</f>
        <v/>
      </c>
      <c r="G219" s="25"/>
      <c r="H219" s="26" t="str">
        <f>IF(G219='Tablas AR'!$B$10,1,IF('Análisis de Riesgos'!G219='Tablas AR'!$B$11,2,IF('Análisis de Riesgos'!G219='Tablas AR'!$B$12,3,"")))</f>
        <v/>
      </c>
      <c r="I219" s="26" t="str">
        <f t="shared" si="3"/>
        <v/>
      </c>
    </row>
    <row r="220" spans="2:9" x14ac:dyDescent="0.25">
      <c r="B220" s="27" t="str">
        <f>IFERROR(INDEX(Activos!$B$3:$C$16, MATCH(C220,Activos!$B$3:$B$16),2),"")</f>
        <v/>
      </c>
      <c r="C220" s="27"/>
      <c r="D220" s="27"/>
      <c r="E220" s="25"/>
      <c r="F220" s="26" t="str">
        <f>IF(E220='Tablas AR'!$B$4,1,IF('Análisis de Riesgos'!E220='Tablas AR'!$B$5,2,IF('Análisis de Riesgos'!E220='Tablas AR'!$B$6,3,"")))</f>
        <v/>
      </c>
      <c r="G220" s="25"/>
      <c r="H220" s="26" t="str">
        <f>IF(G220='Tablas AR'!$B$10,1,IF('Análisis de Riesgos'!G220='Tablas AR'!$B$11,2,IF('Análisis de Riesgos'!G220='Tablas AR'!$B$12,3,"")))</f>
        <v/>
      </c>
      <c r="I220" s="26" t="str">
        <f t="shared" si="3"/>
        <v/>
      </c>
    </row>
    <row r="221" spans="2:9" x14ac:dyDescent="0.25">
      <c r="B221" s="27" t="str">
        <f>IFERROR(INDEX(Activos!$B$3:$C$16, MATCH(C221,Activos!$B$3:$B$16),2),"")</f>
        <v/>
      </c>
      <c r="C221" s="27"/>
      <c r="D221" s="27"/>
      <c r="E221" s="25"/>
      <c r="F221" s="26" t="str">
        <f>IF(E221='Tablas AR'!$B$4,1,IF('Análisis de Riesgos'!E221='Tablas AR'!$B$5,2,IF('Análisis de Riesgos'!E221='Tablas AR'!$B$6,3,"")))</f>
        <v/>
      </c>
      <c r="G221" s="25"/>
      <c r="H221" s="26" t="str">
        <f>IF(G221='Tablas AR'!$B$10,1,IF('Análisis de Riesgos'!G221='Tablas AR'!$B$11,2,IF('Análisis de Riesgos'!G221='Tablas AR'!$B$12,3,"")))</f>
        <v/>
      </c>
      <c r="I221" s="26" t="str">
        <f t="shared" si="3"/>
        <v/>
      </c>
    </row>
    <row r="222" spans="2:9" x14ac:dyDescent="0.25">
      <c r="B222" s="27" t="str">
        <f>IFERROR(INDEX(Activos!$B$3:$C$16, MATCH(C222,Activos!$B$3:$B$16),2),"")</f>
        <v/>
      </c>
      <c r="C222" s="27"/>
      <c r="D222" s="27"/>
      <c r="E222" s="25"/>
      <c r="F222" s="26" t="str">
        <f>IF(E222='Tablas AR'!$B$4,1,IF('Análisis de Riesgos'!E222='Tablas AR'!$B$5,2,IF('Análisis de Riesgos'!E222='Tablas AR'!$B$6,3,"")))</f>
        <v/>
      </c>
      <c r="G222" s="25"/>
      <c r="H222" s="26" t="str">
        <f>IF(G222='Tablas AR'!$B$10,1,IF('Análisis de Riesgos'!G222='Tablas AR'!$B$11,2,IF('Análisis de Riesgos'!G222='Tablas AR'!$B$12,3,"")))</f>
        <v/>
      </c>
      <c r="I222" s="26" t="str">
        <f t="shared" si="3"/>
        <v/>
      </c>
    </row>
    <row r="223" spans="2:9" x14ac:dyDescent="0.25">
      <c r="B223" s="27" t="str">
        <f>IFERROR(INDEX(Activos!$B$3:$C$16, MATCH(C223,Activos!$B$3:$B$16),2),"")</f>
        <v/>
      </c>
      <c r="C223" s="27"/>
      <c r="D223" s="27"/>
      <c r="E223" s="25"/>
      <c r="F223" s="26" t="str">
        <f>IF(E223='Tablas AR'!$B$4,1,IF('Análisis de Riesgos'!E223='Tablas AR'!$B$5,2,IF('Análisis de Riesgos'!E223='Tablas AR'!$B$6,3,"")))</f>
        <v/>
      </c>
      <c r="G223" s="25"/>
      <c r="H223" s="26" t="str">
        <f>IF(G223='Tablas AR'!$B$10,1,IF('Análisis de Riesgos'!G223='Tablas AR'!$B$11,2,IF('Análisis de Riesgos'!G223='Tablas AR'!$B$12,3,"")))</f>
        <v/>
      </c>
      <c r="I223" s="26" t="str">
        <f t="shared" si="3"/>
        <v/>
      </c>
    </row>
    <row r="224" spans="2:9" x14ac:dyDescent="0.25">
      <c r="B224" s="27" t="str">
        <f>IFERROR(INDEX(Activos!$B$3:$C$16, MATCH(C224,Activos!$B$3:$B$16),2),"")</f>
        <v/>
      </c>
      <c r="C224" s="27"/>
      <c r="D224" s="27"/>
      <c r="E224" s="25"/>
      <c r="F224" s="26" t="str">
        <f>IF(E224='Tablas AR'!$B$4,1,IF('Análisis de Riesgos'!E224='Tablas AR'!$B$5,2,IF('Análisis de Riesgos'!E224='Tablas AR'!$B$6,3,"")))</f>
        <v/>
      </c>
      <c r="G224" s="25"/>
      <c r="H224" s="26" t="str">
        <f>IF(G224='Tablas AR'!$B$10,1,IF('Análisis de Riesgos'!G224='Tablas AR'!$B$11,2,IF('Análisis de Riesgos'!G224='Tablas AR'!$B$12,3,"")))</f>
        <v/>
      </c>
      <c r="I224" s="26" t="str">
        <f t="shared" si="3"/>
        <v/>
      </c>
    </row>
    <row r="225" spans="2:9" x14ac:dyDescent="0.25">
      <c r="B225" s="27" t="str">
        <f>IFERROR(INDEX(Activos!$B$3:$C$16, MATCH(C225,Activos!$B$3:$B$16),2),"")</f>
        <v/>
      </c>
      <c r="C225" s="27"/>
      <c r="D225" s="27"/>
      <c r="E225" s="25"/>
      <c r="F225" s="26" t="str">
        <f>IF(E225='Tablas AR'!$B$4,1,IF('Análisis de Riesgos'!E225='Tablas AR'!$B$5,2,IF('Análisis de Riesgos'!E225='Tablas AR'!$B$6,3,"")))</f>
        <v/>
      </c>
      <c r="G225" s="25"/>
      <c r="H225" s="26" t="str">
        <f>IF(G225='Tablas AR'!$B$10,1,IF('Análisis de Riesgos'!G225='Tablas AR'!$B$11,2,IF('Análisis de Riesgos'!G225='Tablas AR'!$B$12,3,"")))</f>
        <v/>
      </c>
      <c r="I225" s="26" t="str">
        <f t="shared" si="3"/>
        <v/>
      </c>
    </row>
    <row r="226" spans="2:9" x14ac:dyDescent="0.25">
      <c r="B226" s="27" t="str">
        <f>IFERROR(INDEX(Activos!$B$3:$C$16, MATCH(C226,Activos!$B$3:$B$16),2),"")</f>
        <v/>
      </c>
      <c r="C226" s="27"/>
      <c r="D226" s="27"/>
      <c r="E226" s="25"/>
      <c r="F226" s="26" t="str">
        <f>IF(E226='Tablas AR'!$B$4,1,IF('Análisis de Riesgos'!E226='Tablas AR'!$B$5,2,IF('Análisis de Riesgos'!E226='Tablas AR'!$B$6,3,"")))</f>
        <v/>
      </c>
      <c r="G226" s="25"/>
      <c r="H226" s="26" t="str">
        <f>IF(G226='Tablas AR'!$B$10,1,IF('Análisis de Riesgos'!G226='Tablas AR'!$B$11,2,IF('Análisis de Riesgos'!G226='Tablas AR'!$B$12,3,"")))</f>
        <v/>
      </c>
      <c r="I226" s="26" t="str">
        <f t="shared" si="3"/>
        <v/>
      </c>
    </row>
    <row r="227" spans="2:9" x14ac:dyDescent="0.25">
      <c r="B227" s="27" t="str">
        <f>IFERROR(INDEX(Activos!$B$3:$C$16, MATCH(C227,Activos!$B$3:$B$16),2),"")</f>
        <v/>
      </c>
      <c r="C227" s="27"/>
      <c r="D227" s="27"/>
      <c r="E227" s="25"/>
      <c r="F227" s="26" t="str">
        <f>IF(E227='Tablas AR'!$B$4,1,IF('Análisis de Riesgos'!E227='Tablas AR'!$B$5,2,IF('Análisis de Riesgos'!E227='Tablas AR'!$B$6,3,"")))</f>
        <v/>
      </c>
      <c r="G227" s="25"/>
      <c r="H227" s="26" t="str">
        <f>IF(G227='Tablas AR'!$B$10,1,IF('Análisis de Riesgos'!G227='Tablas AR'!$B$11,2,IF('Análisis de Riesgos'!G227='Tablas AR'!$B$12,3,"")))</f>
        <v/>
      </c>
      <c r="I227" s="26" t="str">
        <f t="shared" si="3"/>
        <v/>
      </c>
    </row>
    <row r="228" spans="2:9" x14ac:dyDescent="0.25">
      <c r="B228" s="27" t="str">
        <f>IFERROR(INDEX(Activos!$B$3:$C$16, MATCH(C228,Activos!$B$3:$B$16),2),"")</f>
        <v/>
      </c>
      <c r="C228" s="27"/>
      <c r="D228" s="27"/>
      <c r="E228" s="25"/>
      <c r="F228" s="26" t="str">
        <f>IF(E228='Tablas AR'!$B$4,1,IF('Análisis de Riesgos'!E228='Tablas AR'!$B$5,2,IF('Análisis de Riesgos'!E228='Tablas AR'!$B$6,3,"")))</f>
        <v/>
      </c>
      <c r="G228" s="25"/>
      <c r="H228" s="26" t="str">
        <f>IF(G228='Tablas AR'!$B$10,1,IF('Análisis de Riesgos'!G228='Tablas AR'!$B$11,2,IF('Análisis de Riesgos'!G228='Tablas AR'!$B$12,3,"")))</f>
        <v/>
      </c>
      <c r="I228" s="26" t="str">
        <f t="shared" si="3"/>
        <v/>
      </c>
    </row>
    <row r="229" spans="2:9" x14ac:dyDescent="0.25">
      <c r="B229" s="27" t="str">
        <f>IFERROR(INDEX(Activos!$B$3:$C$16, MATCH(C229,Activos!$B$3:$B$16),2),"")</f>
        <v/>
      </c>
      <c r="C229" s="27"/>
      <c r="D229" s="27"/>
      <c r="E229" s="25"/>
      <c r="F229" s="26" t="str">
        <f>IF(E229='Tablas AR'!$B$4,1,IF('Análisis de Riesgos'!E229='Tablas AR'!$B$5,2,IF('Análisis de Riesgos'!E229='Tablas AR'!$B$6,3,"")))</f>
        <v/>
      </c>
      <c r="G229" s="25"/>
      <c r="H229" s="26" t="str">
        <f>IF(G229='Tablas AR'!$B$10,1,IF('Análisis de Riesgos'!G229='Tablas AR'!$B$11,2,IF('Análisis de Riesgos'!G229='Tablas AR'!$B$12,3,"")))</f>
        <v/>
      </c>
      <c r="I229" s="26" t="str">
        <f t="shared" si="3"/>
        <v/>
      </c>
    </row>
    <row r="230" spans="2:9" x14ac:dyDescent="0.25">
      <c r="B230" s="27" t="str">
        <f>IFERROR(INDEX(Activos!$B$3:$C$16, MATCH(C230,Activos!$B$3:$B$16),2),"")</f>
        <v/>
      </c>
      <c r="C230" s="27"/>
      <c r="D230" s="27"/>
      <c r="E230" s="25"/>
      <c r="F230" s="26" t="str">
        <f>IF(E230='Tablas AR'!$B$4,1,IF('Análisis de Riesgos'!E230='Tablas AR'!$B$5,2,IF('Análisis de Riesgos'!E230='Tablas AR'!$B$6,3,"")))</f>
        <v/>
      </c>
      <c r="G230" s="25"/>
      <c r="H230" s="26" t="str">
        <f>IF(G230='Tablas AR'!$B$10,1,IF('Análisis de Riesgos'!G230='Tablas AR'!$B$11,2,IF('Análisis de Riesgos'!G230='Tablas AR'!$B$12,3,"")))</f>
        <v/>
      </c>
      <c r="I230" s="26" t="str">
        <f t="shared" si="3"/>
        <v/>
      </c>
    </row>
    <row r="231" spans="2:9" x14ac:dyDescent="0.25">
      <c r="B231" s="27" t="str">
        <f>IFERROR(INDEX(Activos!$B$3:$C$16, MATCH(C231,Activos!$B$3:$B$16),2),"")</f>
        <v/>
      </c>
      <c r="C231" s="27"/>
      <c r="D231" s="27"/>
      <c r="E231" s="25"/>
      <c r="F231" s="26" t="str">
        <f>IF(E231='Tablas AR'!$B$4,1,IF('Análisis de Riesgos'!E231='Tablas AR'!$B$5,2,IF('Análisis de Riesgos'!E231='Tablas AR'!$B$6,3,"")))</f>
        <v/>
      </c>
      <c r="G231" s="25"/>
      <c r="H231" s="26" t="str">
        <f>IF(G231='Tablas AR'!$B$10,1,IF('Análisis de Riesgos'!G231='Tablas AR'!$B$11,2,IF('Análisis de Riesgos'!G231='Tablas AR'!$B$12,3,"")))</f>
        <v/>
      </c>
      <c r="I231" s="26" t="str">
        <f t="shared" si="3"/>
        <v/>
      </c>
    </row>
    <row r="232" spans="2:9" x14ac:dyDescent="0.25">
      <c r="B232" s="27" t="str">
        <f>IFERROR(INDEX(Activos!$B$3:$C$16, MATCH(C232,Activos!$B$3:$B$16),2),"")</f>
        <v/>
      </c>
      <c r="C232" s="27"/>
      <c r="D232" s="27"/>
      <c r="E232" s="25"/>
      <c r="F232" s="26" t="str">
        <f>IF(E232='Tablas AR'!$B$4,1,IF('Análisis de Riesgos'!E232='Tablas AR'!$B$5,2,IF('Análisis de Riesgos'!E232='Tablas AR'!$B$6,3,"")))</f>
        <v/>
      </c>
      <c r="G232" s="25"/>
      <c r="H232" s="26" t="str">
        <f>IF(G232='Tablas AR'!$B$10,1,IF('Análisis de Riesgos'!G232='Tablas AR'!$B$11,2,IF('Análisis de Riesgos'!G232='Tablas AR'!$B$12,3,"")))</f>
        <v/>
      </c>
      <c r="I232" s="26" t="str">
        <f t="shared" si="3"/>
        <v/>
      </c>
    </row>
    <row r="233" spans="2:9" x14ac:dyDescent="0.25">
      <c r="B233" s="27" t="str">
        <f>IFERROR(INDEX(Activos!$B$3:$C$16, MATCH(C233,Activos!$B$3:$B$16),2),"")</f>
        <v/>
      </c>
      <c r="C233" s="27"/>
      <c r="D233" s="27"/>
      <c r="E233" s="25"/>
      <c r="F233" s="26" t="str">
        <f>IF(E233='Tablas AR'!$B$4,1,IF('Análisis de Riesgos'!E233='Tablas AR'!$B$5,2,IF('Análisis de Riesgos'!E233='Tablas AR'!$B$6,3,"")))</f>
        <v/>
      </c>
      <c r="G233" s="25"/>
      <c r="H233" s="26" t="str">
        <f>IF(G233='Tablas AR'!$B$10,1,IF('Análisis de Riesgos'!G233='Tablas AR'!$B$11,2,IF('Análisis de Riesgos'!G233='Tablas AR'!$B$12,3,"")))</f>
        <v/>
      </c>
      <c r="I233" s="26" t="str">
        <f t="shared" si="3"/>
        <v/>
      </c>
    </row>
    <row r="234" spans="2:9" x14ac:dyDescent="0.25">
      <c r="B234" s="27" t="str">
        <f>IFERROR(INDEX(Activos!$B$3:$C$16, MATCH(C234,Activos!$B$3:$B$16),2),"")</f>
        <v/>
      </c>
      <c r="C234" s="27"/>
      <c r="D234" s="27"/>
      <c r="E234" s="25"/>
      <c r="F234" s="26" t="str">
        <f>IF(E234='Tablas AR'!$B$4,1,IF('Análisis de Riesgos'!E234='Tablas AR'!$B$5,2,IF('Análisis de Riesgos'!E234='Tablas AR'!$B$6,3,"")))</f>
        <v/>
      </c>
      <c r="G234" s="25"/>
      <c r="H234" s="26" t="str">
        <f>IF(G234='Tablas AR'!$B$10,1,IF('Análisis de Riesgos'!G234='Tablas AR'!$B$11,2,IF('Análisis de Riesgos'!G234='Tablas AR'!$B$12,3,"")))</f>
        <v/>
      </c>
      <c r="I234" s="26" t="str">
        <f t="shared" si="3"/>
        <v/>
      </c>
    </row>
    <row r="235" spans="2:9" x14ac:dyDescent="0.25">
      <c r="B235" s="27" t="str">
        <f>IFERROR(INDEX(Activos!$B$3:$C$16, MATCH(C235,Activos!$B$3:$B$16),2),"")</f>
        <v/>
      </c>
      <c r="C235" s="27"/>
      <c r="D235" s="27"/>
      <c r="E235" s="25"/>
      <c r="F235" s="26" t="str">
        <f>IF(E235='Tablas AR'!$B$4,1,IF('Análisis de Riesgos'!E235='Tablas AR'!$B$5,2,IF('Análisis de Riesgos'!E235='Tablas AR'!$B$6,3,"")))</f>
        <v/>
      </c>
      <c r="G235" s="25"/>
      <c r="H235" s="26" t="str">
        <f>IF(G235='Tablas AR'!$B$10,1,IF('Análisis de Riesgos'!G235='Tablas AR'!$B$11,2,IF('Análisis de Riesgos'!G235='Tablas AR'!$B$12,3,"")))</f>
        <v/>
      </c>
      <c r="I235" s="26" t="str">
        <f t="shared" si="3"/>
        <v/>
      </c>
    </row>
    <row r="236" spans="2:9" x14ac:dyDescent="0.25">
      <c r="B236" s="27" t="str">
        <f>IFERROR(INDEX(Activos!$B$3:$C$16, MATCH(C236,Activos!$B$3:$B$16),2),"")</f>
        <v/>
      </c>
      <c r="C236" s="27"/>
      <c r="D236" s="27"/>
      <c r="E236" s="25"/>
      <c r="F236" s="26" t="str">
        <f>IF(E236='Tablas AR'!$B$4,1,IF('Análisis de Riesgos'!E236='Tablas AR'!$B$5,2,IF('Análisis de Riesgos'!E236='Tablas AR'!$B$6,3,"")))</f>
        <v/>
      </c>
      <c r="G236" s="25"/>
      <c r="H236" s="26" t="str">
        <f>IF(G236='Tablas AR'!$B$10,1,IF('Análisis de Riesgos'!G236='Tablas AR'!$B$11,2,IF('Análisis de Riesgos'!G236='Tablas AR'!$B$12,3,"")))</f>
        <v/>
      </c>
      <c r="I236" s="26" t="str">
        <f t="shared" si="3"/>
        <v/>
      </c>
    </row>
    <row r="237" spans="2:9" x14ac:dyDescent="0.25">
      <c r="B237" s="27" t="str">
        <f>IFERROR(INDEX(Activos!$B$3:$C$16, MATCH(C237,Activos!$B$3:$B$16),2),"")</f>
        <v/>
      </c>
      <c r="C237" s="27"/>
      <c r="D237" s="27"/>
      <c r="E237" s="25"/>
      <c r="F237" s="26" t="str">
        <f>IF(E237='Tablas AR'!$B$4,1,IF('Análisis de Riesgos'!E237='Tablas AR'!$B$5,2,IF('Análisis de Riesgos'!E237='Tablas AR'!$B$6,3,"")))</f>
        <v/>
      </c>
      <c r="G237" s="25"/>
      <c r="H237" s="26" t="str">
        <f>IF(G237='Tablas AR'!$B$10,1,IF('Análisis de Riesgos'!G237='Tablas AR'!$B$11,2,IF('Análisis de Riesgos'!G237='Tablas AR'!$B$12,3,"")))</f>
        <v/>
      </c>
      <c r="I237" s="26" t="str">
        <f t="shared" si="3"/>
        <v/>
      </c>
    </row>
    <row r="238" spans="2:9" x14ac:dyDescent="0.25">
      <c r="B238" s="27" t="str">
        <f>IFERROR(INDEX(Activos!$B$3:$C$16, MATCH(C238,Activos!$B$3:$B$16),2),"")</f>
        <v/>
      </c>
      <c r="C238" s="27"/>
      <c r="D238" s="27"/>
      <c r="E238" s="25"/>
      <c r="F238" s="26" t="str">
        <f>IF(E238='Tablas AR'!$B$4,1,IF('Análisis de Riesgos'!E238='Tablas AR'!$B$5,2,IF('Análisis de Riesgos'!E238='Tablas AR'!$B$6,3,"")))</f>
        <v/>
      </c>
      <c r="G238" s="25"/>
      <c r="H238" s="26" t="str">
        <f>IF(G238='Tablas AR'!$B$10,1,IF('Análisis de Riesgos'!G238='Tablas AR'!$B$11,2,IF('Análisis de Riesgos'!G238='Tablas AR'!$B$12,3,"")))</f>
        <v/>
      </c>
      <c r="I238" s="26" t="str">
        <f t="shared" si="3"/>
        <v/>
      </c>
    </row>
    <row r="239" spans="2:9" x14ac:dyDescent="0.25">
      <c r="B239" s="27" t="str">
        <f>IFERROR(INDEX(Activos!$B$3:$C$16, MATCH(C239,Activos!$B$3:$B$16),2),"")</f>
        <v/>
      </c>
      <c r="C239" s="27"/>
      <c r="D239" s="27"/>
      <c r="E239" s="25"/>
      <c r="F239" s="26" t="str">
        <f>IF(E239='Tablas AR'!$B$4,1,IF('Análisis de Riesgos'!E239='Tablas AR'!$B$5,2,IF('Análisis de Riesgos'!E239='Tablas AR'!$B$6,3,"")))</f>
        <v/>
      </c>
      <c r="G239" s="25"/>
      <c r="H239" s="26" t="str">
        <f>IF(G239='Tablas AR'!$B$10,1,IF('Análisis de Riesgos'!G239='Tablas AR'!$B$11,2,IF('Análisis de Riesgos'!G239='Tablas AR'!$B$12,3,"")))</f>
        <v/>
      </c>
      <c r="I239" s="26" t="str">
        <f t="shared" si="3"/>
        <v/>
      </c>
    </row>
    <row r="240" spans="2:9" x14ac:dyDescent="0.25">
      <c r="B240" s="27" t="str">
        <f>IFERROR(INDEX(Activos!$B$3:$C$16, MATCH(C240,Activos!$B$3:$B$16),2),"")</f>
        <v/>
      </c>
      <c r="C240" s="27"/>
      <c r="D240" s="27"/>
      <c r="E240" s="25"/>
      <c r="F240" s="26" t="str">
        <f>IF(E240='Tablas AR'!$B$4,1,IF('Análisis de Riesgos'!E240='Tablas AR'!$B$5,2,IF('Análisis de Riesgos'!E240='Tablas AR'!$B$6,3,"")))</f>
        <v/>
      </c>
      <c r="G240" s="25"/>
      <c r="H240" s="26" t="str">
        <f>IF(G240='Tablas AR'!$B$10,1,IF('Análisis de Riesgos'!G240='Tablas AR'!$B$11,2,IF('Análisis de Riesgos'!G240='Tablas AR'!$B$12,3,"")))</f>
        <v/>
      </c>
      <c r="I240" s="26" t="str">
        <f t="shared" si="3"/>
        <v/>
      </c>
    </row>
    <row r="241" spans="2:9" x14ac:dyDescent="0.25">
      <c r="B241" s="27" t="str">
        <f>IFERROR(INDEX(Activos!$B$3:$C$16, MATCH(C241,Activos!$B$3:$B$16),2),"")</f>
        <v/>
      </c>
      <c r="C241" s="27"/>
      <c r="D241" s="27"/>
      <c r="E241" s="25"/>
      <c r="F241" s="26" t="str">
        <f>IF(E241='Tablas AR'!$B$4,1,IF('Análisis de Riesgos'!E241='Tablas AR'!$B$5,2,IF('Análisis de Riesgos'!E241='Tablas AR'!$B$6,3,"")))</f>
        <v/>
      </c>
      <c r="G241" s="25"/>
      <c r="H241" s="26" t="str">
        <f>IF(G241='Tablas AR'!$B$10,1,IF('Análisis de Riesgos'!G241='Tablas AR'!$B$11,2,IF('Análisis de Riesgos'!G241='Tablas AR'!$B$12,3,"")))</f>
        <v/>
      </c>
      <c r="I241" s="26" t="str">
        <f t="shared" si="3"/>
        <v/>
      </c>
    </row>
    <row r="242" spans="2:9" x14ac:dyDescent="0.25">
      <c r="B242" s="27" t="str">
        <f>IFERROR(INDEX(Activos!$B$3:$C$16, MATCH(C242,Activos!$B$3:$B$16),2),"")</f>
        <v/>
      </c>
      <c r="C242" s="27"/>
      <c r="D242" s="27"/>
      <c r="E242" s="25"/>
      <c r="F242" s="26" t="str">
        <f>IF(E242='Tablas AR'!$B$4,1,IF('Análisis de Riesgos'!E242='Tablas AR'!$B$5,2,IF('Análisis de Riesgos'!E242='Tablas AR'!$B$6,3,"")))</f>
        <v/>
      </c>
      <c r="G242" s="25"/>
      <c r="H242" s="26" t="str">
        <f>IF(G242='Tablas AR'!$B$10,1,IF('Análisis de Riesgos'!G242='Tablas AR'!$B$11,2,IF('Análisis de Riesgos'!G242='Tablas AR'!$B$12,3,"")))</f>
        <v/>
      </c>
      <c r="I242" s="26" t="str">
        <f t="shared" si="3"/>
        <v/>
      </c>
    </row>
    <row r="243" spans="2:9" x14ac:dyDescent="0.25">
      <c r="B243" s="27" t="str">
        <f>IFERROR(INDEX(Activos!$B$3:$C$16, MATCH(C243,Activos!$B$3:$B$16),2),"")</f>
        <v/>
      </c>
      <c r="C243" s="27"/>
      <c r="D243" s="27"/>
      <c r="E243" s="25"/>
      <c r="F243" s="26" t="str">
        <f>IF(E243='Tablas AR'!$B$4,1,IF('Análisis de Riesgos'!E243='Tablas AR'!$B$5,2,IF('Análisis de Riesgos'!E243='Tablas AR'!$B$6,3,"")))</f>
        <v/>
      </c>
      <c r="G243" s="25"/>
      <c r="H243" s="26" t="str">
        <f>IF(G243='Tablas AR'!$B$10,1,IF('Análisis de Riesgos'!G243='Tablas AR'!$B$11,2,IF('Análisis de Riesgos'!G243='Tablas AR'!$B$12,3,"")))</f>
        <v/>
      </c>
      <c r="I243" s="26" t="str">
        <f t="shared" si="3"/>
        <v/>
      </c>
    </row>
    <row r="244" spans="2:9" x14ac:dyDescent="0.25">
      <c r="B244" s="27" t="str">
        <f>IFERROR(INDEX(Activos!$B$3:$C$16, MATCH(C244,Activos!$B$3:$B$16),2),"")</f>
        <v/>
      </c>
      <c r="C244" s="27"/>
      <c r="D244" s="27"/>
      <c r="E244" s="25"/>
      <c r="F244" s="26" t="str">
        <f>IF(E244='Tablas AR'!$B$4,1,IF('Análisis de Riesgos'!E244='Tablas AR'!$B$5,2,IF('Análisis de Riesgos'!E244='Tablas AR'!$B$6,3,"")))</f>
        <v/>
      </c>
      <c r="G244" s="25"/>
      <c r="H244" s="26" t="str">
        <f>IF(G244='Tablas AR'!$B$10,1,IF('Análisis de Riesgos'!G244='Tablas AR'!$B$11,2,IF('Análisis de Riesgos'!G244='Tablas AR'!$B$12,3,"")))</f>
        <v/>
      </c>
      <c r="I244" s="26" t="str">
        <f t="shared" si="3"/>
        <v/>
      </c>
    </row>
    <row r="245" spans="2:9" x14ac:dyDescent="0.25">
      <c r="B245" s="27" t="str">
        <f>IFERROR(INDEX(Activos!$B$3:$C$16, MATCH(C245,Activos!$B$3:$B$16),2),"")</f>
        <v/>
      </c>
      <c r="C245" s="27"/>
      <c r="D245" s="27"/>
      <c r="E245" s="25"/>
      <c r="F245" s="26" t="str">
        <f>IF(E245='Tablas AR'!$B$4,1,IF('Análisis de Riesgos'!E245='Tablas AR'!$B$5,2,IF('Análisis de Riesgos'!E245='Tablas AR'!$B$6,3,"")))</f>
        <v/>
      </c>
      <c r="G245" s="25"/>
      <c r="H245" s="26" t="str">
        <f>IF(G245='Tablas AR'!$B$10,1,IF('Análisis de Riesgos'!G245='Tablas AR'!$B$11,2,IF('Análisis de Riesgos'!G245='Tablas AR'!$B$12,3,"")))</f>
        <v/>
      </c>
      <c r="I245" s="26" t="str">
        <f t="shared" si="3"/>
        <v/>
      </c>
    </row>
    <row r="246" spans="2:9" x14ac:dyDescent="0.25">
      <c r="B246" s="27" t="str">
        <f>IFERROR(INDEX(Activos!$B$3:$C$16, MATCH(C246,Activos!$B$3:$B$16),2),"")</f>
        <v/>
      </c>
      <c r="C246" s="27"/>
      <c r="D246" s="27"/>
      <c r="E246" s="25"/>
      <c r="F246" s="26" t="str">
        <f>IF(E246='Tablas AR'!$B$4,1,IF('Análisis de Riesgos'!E246='Tablas AR'!$B$5,2,IF('Análisis de Riesgos'!E246='Tablas AR'!$B$6,3,"")))</f>
        <v/>
      </c>
      <c r="G246" s="25"/>
      <c r="H246" s="26" t="str">
        <f>IF(G246='Tablas AR'!$B$10,1,IF('Análisis de Riesgos'!G246='Tablas AR'!$B$11,2,IF('Análisis de Riesgos'!G246='Tablas AR'!$B$12,3,"")))</f>
        <v/>
      </c>
      <c r="I246" s="26" t="str">
        <f t="shared" si="3"/>
        <v/>
      </c>
    </row>
    <row r="247" spans="2:9" x14ac:dyDescent="0.25">
      <c r="B247" s="27" t="str">
        <f>IFERROR(INDEX(Activos!$B$3:$C$16, MATCH(C247,Activos!$B$3:$B$16),2),"")</f>
        <v/>
      </c>
      <c r="C247" s="27"/>
      <c r="D247" s="27"/>
      <c r="E247" s="25"/>
      <c r="F247" s="26" t="str">
        <f>IF(E247='Tablas AR'!$B$4,1,IF('Análisis de Riesgos'!E247='Tablas AR'!$B$5,2,IF('Análisis de Riesgos'!E247='Tablas AR'!$B$6,3,"")))</f>
        <v/>
      </c>
      <c r="G247" s="25"/>
      <c r="H247" s="26" t="str">
        <f>IF(G247='Tablas AR'!$B$10,1,IF('Análisis de Riesgos'!G247='Tablas AR'!$B$11,2,IF('Análisis de Riesgos'!G247='Tablas AR'!$B$12,3,"")))</f>
        <v/>
      </c>
      <c r="I247" s="26" t="str">
        <f t="shared" si="3"/>
        <v/>
      </c>
    </row>
    <row r="248" spans="2:9" x14ac:dyDescent="0.25">
      <c r="B248" s="27" t="str">
        <f>IFERROR(INDEX(Activos!$B$3:$C$16, MATCH(C248,Activos!$B$3:$B$16),2),"")</f>
        <v/>
      </c>
      <c r="C248" s="27"/>
      <c r="D248" s="27"/>
      <c r="E248" s="25"/>
      <c r="F248" s="26" t="str">
        <f>IF(E248='Tablas AR'!$B$4,1,IF('Análisis de Riesgos'!E248='Tablas AR'!$B$5,2,IF('Análisis de Riesgos'!E248='Tablas AR'!$B$6,3,"")))</f>
        <v/>
      </c>
      <c r="G248" s="25"/>
      <c r="H248" s="26" t="str">
        <f>IF(G248='Tablas AR'!$B$10,1,IF('Análisis de Riesgos'!G248='Tablas AR'!$B$11,2,IF('Análisis de Riesgos'!G248='Tablas AR'!$B$12,3,"")))</f>
        <v/>
      </c>
      <c r="I248" s="26" t="str">
        <f t="shared" si="3"/>
        <v/>
      </c>
    </row>
    <row r="249" spans="2:9" x14ac:dyDescent="0.25">
      <c r="B249" s="27" t="str">
        <f>IFERROR(INDEX(Activos!$B$3:$C$16, MATCH(C249,Activos!$B$3:$B$16),2),"")</f>
        <v/>
      </c>
      <c r="C249" s="27"/>
      <c r="D249" s="27"/>
      <c r="E249" s="25"/>
      <c r="F249" s="26" t="str">
        <f>IF(E249='Tablas AR'!$B$4,1,IF('Análisis de Riesgos'!E249='Tablas AR'!$B$5,2,IF('Análisis de Riesgos'!E249='Tablas AR'!$B$6,3,"")))</f>
        <v/>
      </c>
      <c r="G249" s="25"/>
      <c r="H249" s="26" t="str">
        <f>IF(G249='Tablas AR'!$B$10,1,IF('Análisis de Riesgos'!G249='Tablas AR'!$B$11,2,IF('Análisis de Riesgos'!G249='Tablas AR'!$B$12,3,"")))</f>
        <v/>
      </c>
      <c r="I249" s="26" t="str">
        <f t="shared" si="3"/>
        <v/>
      </c>
    </row>
    <row r="250" spans="2:9" x14ac:dyDescent="0.25">
      <c r="B250" s="27" t="str">
        <f>IFERROR(INDEX(Activos!$B$3:$C$16, MATCH(C250,Activos!$B$3:$B$16),2),"")</f>
        <v/>
      </c>
      <c r="C250" s="27"/>
      <c r="D250" s="27"/>
      <c r="E250" s="25"/>
      <c r="F250" s="26" t="str">
        <f>IF(E250='Tablas AR'!$B$4,1,IF('Análisis de Riesgos'!E250='Tablas AR'!$B$5,2,IF('Análisis de Riesgos'!E250='Tablas AR'!$B$6,3,"")))</f>
        <v/>
      </c>
      <c r="G250" s="25"/>
      <c r="H250" s="26" t="str">
        <f>IF(G250='Tablas AR'!$B$10,1,IF('Análisis de Riesgos'!G250='Tablas AR'!$B$11,2,IF('Análisis de Riesgos'!G250='Tablas AR'!$B$12,3,"")))</f>
        <v/>
      </c>
      <c r="I250" s="26" t="str">
        <f t="shared" si="3"/>
        <v/>
      </c>
    </row>
    <row r="251" spans="2:9" x14ac:dyDescent="0.25">
      <c r="B251" s="27" t="str">
        <f>IFERROR(INDEX(Activos!$B$3:$C$16, MATCH(C251,Activos!$B$3:$B$16),2),"")</f>
        <v/>
      </c>
      <c r="C251" s="27"/>
      <c r="D251" s="27"/>
      <c r="E251" s="25"/>
      <c r="F251" s="26" t="str">
        <f>IF(E251='Tablas AR'!$B$4,1,IF('Análisis de Riesgos'!E251='Tablas AR'!$B$5,2,IF('Análisis de Riesgos'!E251='Tablas AR'!$B$6,3,"")))</f>
        <v/>
      </c>
      <c r="G251" s="25"/>
      <c r="H251" s="26" t="str">
        <f>IF(G251='Tablas AR'!$B$10,1,IF('Análisis de Riesgos'!G251='Tablas AR'!$B$11,2,IF('Análisis de Riesgos'!G251='Tablas AR'!$B$12,3,"")))</f>
        <v/>
      </c>
      <c r="I251" s="26" t="str">
        <f t="shared" si="3"/>
        <v/>
      </c>
    </row>
    <row r="252" spans="2:9" x14ac:dyDescent="0.25">
      <c r="B252" s="27" t="str">
        <f>IFERROR(INDEX(Activos!$B$3:$C$16, MATCH(C252,Activos!$B$3:$B$16),2),"")</f>
        <v/>
      </c>
      <c r="C252" s="27"/>
      <c r="D252" s="27"/>
      <c r="E252" s="25"/>
      <c r="F252" s="26" t="str">
        <f>IF(E252='Tablas AR'!$B$4,1,IF('Análisis de Riesgos'!E252='Tablas AR'!$B$5,2,IF('Análisis de Riesgos'!E252='Tablas AR'!$B$6,3,"")))</f>
        <v/>
      </c>
      <c r="G252" s="25"/>
      <c r="H252" s="26" t="str">
        <f>IF(G252='Tablas AR'!$B$10,1,IF('Análisis de Riesgos'!G252='Tablas AR'!$B$11,2,IF('Análisis de Riesgos'!G252='Tablas AR'!$B$12,3,"")))</f>
        <v/>
      </c>
      <c r="I252" s="26" t="str">
        <f t="shared" si="3"/>
        <v/>
      </c>
    </row>
    <row r="253" spans="2:9" x14ac:dyDescent="0.25">
      <c r="B253" s="27" t="str">
        <f>IFERROR(INDEX(Activos!$B$3:$C$16, MATCH(C253,Activos!$B$3:$B$16),2),"")</f>
        <v/>
      </c>
      <c r="C253" s="27"/>
      <c r="D253" s="27"/>
      <c r="E253" s="25"/>
      <c r="F253" s="26" t="str">
        <f>IF(E253='Tablas AR'!$B$4,1,IF('Análisis de Riesgos'!E253='Tablas AR'!$B$5,2,IF('Análisis de Riesgos'!E253='Tablas AR'!$B$6,3,"")))</f>
        <v/>
      </c>
      <c r="G253" s="25"/>
      <c r="H253" s="26" t="str">
        <f>IF(G253='Tablas AR'!$B$10,1,IF('Análisis de Riesgos'!G253='Tablas AR'!$B$11,2,IF('Análisis de Riesgos'!G253='Tablas AR'!$B$12,3,"")))</f>
        <v/>
      </c>
      <c r="I253" s="26" t="str">
        <f t="shared" si="3"/>
        <v/>
      </c>
    </row>
    <row r="254" spans="2:9" x14ac:dyDescent="0.25">
      <c r="B254" s="27" t="str">
        <f>IFERROR(INDEX(Activos!$B$3:$C$16, MATCH(C254,Activos!$B$3:$B$16),2),"")</f>
        <v/>
      </c>
      <c r="C254" s="27"/>
      <c r="D254" s="27"/>
      <c r="E254" s="25"/>
      <c r="F254" s="26" t="str">
        <f>IF(E254='Tablas AR'!$B$4,1,IF('Análisis de Riesgos'!E254='Tablas AR'!$B$5,2,IF('Análisis de Riesgos'!E254='Tablas AR'!$B$6,3,"")))</f>
        <v/>
      </c>
      <c r="G254" s="25"/>
      <c r="H254" s="26" t="str">
        <f>IF(G254='Tablas AR'!$B$10,1,IF('Análisis de Riesgos'!G254='Tablas AR'!$B$11,2,IF('Análisis de Riesgos'!G254='Tablas AR'!$B$12,3,"")))</f>
        <v/>
      </c>
      <c r="I254" s="26" t="str">
        <f t="shared" si="3"/>
        <v/>
      </c>
    </row>
    <row r="255" spans="2:9" x14ac:dyDescent="0.25">
      <c r="B255" s="27" t="str">
        <f>IFERROR(INDEX(Activos!$B$3:$C$16, MATCH(C255,Activos!$B$3:$B$16),2),"")</f>
        <v/>
      </c>
      <c r="C255" s="27"/>
      <c r="D255" s="27"/>
      <c r="E255" s="25"/>
      <c r="F255" s="26" t="str">
        <f>IF(E255='Tablas AR'!$B$4,1,IF('Análisis de Riesgos'!E255='Tablas AR'!$B$5,2,IF('Análisis de Riesgos'!E255='Tablas AR'!$B$6,3,"")))</f>
        <v/>
      </c>
      <c r="G255" s="25"/>
      <c r="H255" s="26" t="str">
        <f>IF(G255='Tablas AR'!$B$10,1,IF('Análisis de Riesgos'!G255='Tablas AR'!$B$11,2,IF('Análisis de Riesgos'!G255='Tablas AR'!$B$12,3,"")))</f>
        <v/>
      </c>
      <c r="I255" s="26" t="str">
        <f t="shared" si="3"/>
        <v/>
      </c>
    </row>
    <row r="256" spans="2:9" x14ac:dyDescent="0.25">
      <c r="B256" s="27" t="str">
        <f>IFERROR(INDEX(Activos!$B$3:$C$16, MATCH(C256,Activos!$B$3:$B$16),2),"")</f>
        <v/>
      </c>
      <c r="C256" s="27"/>
      <c r="D256" s="27"/>
      <c r="E256" s="25"/>
      <c r="F256" s="26" t="str">
        <f>IF(E256='Tablas AR'!$B$4,1,IF('Análisis de Riesgos'!E256='Tablas AR'!$B$5,2,IF('Análisis de Riesgos'!E256='Tablas AR'!$B$6,3,"")))</f>
        <v/>
      </c>
      <c r="G256" s="25"/>
      <c r="H256" s="26" t="str">
        <f>IF(G256='Tablas AR'!$B$10,1,IF('Análisis de Riesgos'!G256='Tablas AR'!$B$11,2,IF('Análisis de Riesgos'!G256='Tablas AR'!$B$12,3,"")))</f>
        <v/>
      </c>
      <c r="I256" s="26" t="str">
        <f t="shared" si="3"/>
        <v/>
      </c>
    </row>
    <row r="257" spans="2:9" x14ac:dyDescent="0.25">
      <c r="B257" s="27" t="str">
        <f>IFERROR(INDEX(Activos!$B$3:$C$16, MATCH(C257,Activos!$B$3:$B$16),2),"")</f>
        <v/>
      </c>
      <c r="C257" s="27"/>
      <c r="D257" s="27"/>
      <c r="E257" s="25"/>
      <c r="F257" s="26" t="str">
        <f>IF(E257='Tablas AR'!$B$4,1,IF('Análisis de Riesgos'!E257='Tablas AR'!$B$5,2,IF('Análisis de Riesgos'!E257='Tablas AR'!$B$6,3,"")))</f>
        <v/>
      </c>
      <c r="G257" s="25"/>
      <c r="H257" s="26" t="str">
        <f>IF(G257='Tablas AR'!$B$10,1,IF('Análisis de Riesgos'!G257='Tablas AR'!$B$11,2,IF('Análisis de Riesgos'!G257='Tablas AR'!$B$12,3,"")))</f>
        <v/>
      </c>
      <c r="I257" s="26" t="str">
        <f t="shared" si="3"/>
        <v/>
      </c>
    </row>
    <row r="258" spans="2:9" x14ac:dyDescent="0.25">
      <c r="B258" s="27" t="str">
        <f>IFERROR(INDEX(Activos!$B$3:$C$16, MATCH(C258,Activos!$B$3:$B$16),2),"")</f>
        <v/>
      </c>
      <c r="C258" s="27"/>
      <c r="D258" s="27"/>
      <c r="E258" s="25"/>
      <c r="F258" s="26" t="str">
        <f>IF(E258='Tablas AR'!$B$4,1,IF('Análisis de Riesgos'!E258='Tablas AR'!$B$5,2,IF('Análisis de Riesgos'!E258='Tablas AR'!$B$6,3,"")))</f>
        <v/>
      </c>
      <c r="G258" s="25"/>
      <c r="H258" s="26" t="str">
        <f>IF(G258='Tablas AR'!$B$10,1,IF('Análisis de Riesgos'!G258='Tablas AR'!$B$11,2,IF('Análisis de Riesgos'!G258='Tablas AR'!$B$12,3,"")))</f>
        <v/>
      </c>
      <c r="I258" s="26" t="str">
        <f t="shared" si="3"/>
        <v/>
      </c>
    </row>
    <row r="259" spans="2:9" x14ac:dyDescent="0.25">
      <c r="B259" s="27" t="str">
        <f>IFERROR(INDEX(Activos!$B$3:$C$16, MATCH(C259,Activos!$B$3:$B$16),2),"")</f>
        <v/>
      </c>
      <c r="C259" s="27"/>
      <c r="D259" s="27"/>
      <c r="E259" s="25"/>
      <c r="F259" s="26" t="str">
        <f>IF(E259='Tablas AR'!$B$4,1,IF('Análisis de Riesgos'!E259='Tablas AR'!$B$5,2,IF('Análisis de Riesgos'!E259='Tablas AR'!$B$6,3,"")))</f>
        <v/>
      </c>
      <c r="G259" s="25"/>
      <c r="H259" s="26" t="str">
        <f>IF(G259='Tablas AR'!$B$10,1,IF('Análisis de Riesgos'!G259='Tablas AR'!$B$11,2,IF('Análisis de Riesgos'!G259='Tablas AR'!$B$12,3,"")))</f>
        <v/>
      </c>
      <c r="I259" s="26" t="str">
        <f t="shared" si="3"/>
        <v/>
      </c>
    </row>
    <row r="260" spans="2:9" x14ac:dyDescent="0.25">
      <c r="B260" s="27" t="str">
        <f>IFERROR(INDEX(Activos!$B$3:$C$16, MATCH(C260,Activos!$B$3:$B$16),2),"")</f>
        <v/>
      </c>
      <c r="C260" s="27"/>
      <c r="D260" s="27"/>
      <c r="E260" s="25"/>
      <c r="F260" s="26" t="str">
        <f>IF(E260='Tablas AR'!$B$4,1,IF('Análisis de Riesgos'!E260='Tablas AR'!$B$5,2,IF('Análisis de Riesgos'!E260='Tablas AR'!$B$6,3,"")))</f>
        <v/>
      </c>
      <c r="G260" s="25"/>
      <c r="H260" s="26" t="str">
        <f>IF(G260='Tablas AR'!$B$10,1,IF('Análisis de Riesgos'!G260='Tablas AR'!$B$11,2,IF('Análisis de Riesgos'!G260='Tablas AR'!$B$12,3,"")))</f>
        <v/>
      </c>
      <c r="I260" s="26" t="str">
        <f t="shared" ref="I260:I323" si="4" xml:space="preserve"> IFERROR(F260*H260,"")</f>
        <v/>
      </c>
    </row>
    <row r="261" spans="2:9" x14ac:dyDescent="0.25">
      <c r="B261" s="27" t="str">
        <f>IFERROR(INDEX(Activos!$B$3:$C$16, MATCH(C261,Activos!$B$3:$B$16),2),"")</f>
        <v/>
      </c>
      <c r="C261" s="27"/>
      <c r="D261" s="27"/>
      <c r="E261" s="25"/>
      <c r="F261" s="26" t="str">
        <f>IF(E261='Tablas AR'!$B$4,1,IF('Análisis de Riesgos'!E261='Tablas AR'!$B$5,2,IF('Análisis de Riesgos'!E261='Tablas AR'!$B$6,3,"")))</f>
        <v/>
      </c>
      <c r="G261" s="25"/>
      <c r="H261" s="26" t="str">
        <f>IF(G261='Tablas AR'!$B$10,1,IF('Análisis de Riesgos'!G261='Tablas AR'!$B$11,2,IF('Análisis de Riesgos'!G261='Tablas AR'!$B$12,3,"")))</f>
        <v/>
      </c>
      <c r="I261" s="26" t="str">
        <f t="shared" si="4"/>
        <v/>
      </c>
    </row>
    <row r="262" spans="2:9" x14ac:dyDescent="0.25">
      <c r="B262" s="27" t="str">
        <f>IFERROR(INDEX(Activos!$B$3:$C$16, MATCH(C262,Activos!$B$3:$B$16),2),"")</f>
        <v/>
      </c>
      <c r="C262" s="27"/>
      <c r="D262" s="27"/>
      <c r="E262" s="25"/>
      <c r="F262" s="26" t="str">
        <f>IF(E262='Tablas AR'!$B$4,1,IF('Análisis de Riesgos'!E262='Tablas AR'!$B$5,2,IF('Análisis de Riesgos'!E262='Tablas AR'!$B$6,3,"")))</f>
        <v/>
      </c>
      <c r="G262" s="25"/>
      <c r="H262" s="26" t="str">
        <f>IF(G262='Tablas AR'!$B$10,1,IF('Análisis de Riesgos'!G262='Tablas AR'!$B$11,2,IF('Análisis de Riesgos'!G262='Tablas AR'!$B$12,3,"")))</f>
        <v/>
      </c>
      <c r="I262" s="26" t="str">
        <f t="shared" si="4"/>
        <v/>
      </c>
    </row>
    <row r="263" spans="2:9" x14ac:dyDescent="0.25">
      <c r="B263" s="27" t="str">
        <f>IFERROR(INDEX(Activos!$B$3:$C$16, MATCH(C263,Activos!$B$3:$B$16),2),"")</f>
        <v/>
      </c>
      <c r="C263" s="27"/>
      <c r="D263" s="27"/>
      <c r="E263" s="25"/>
      <c r="F263" s="26" t="str">
        <f>IF(E263='Tablas AR'!$B$4,1,IF('Análisis de Riesgos'!E263='Tablas AR'!$B$5,2,IF('Análisis de Riesgos'!E263='Tablas AR'!$B$6,3,"")))</f>
        <v/>
      </c>
      <c r="G263" s="25"/>
      <c r="H263" s="26" t="str">
        <f>IF(G263='Tablas AR'!$B$10,1,IF('Análisis de Riesgos'!G263='Tablas AR'!$B$11,2,IF('Análisis de Riesgos'!G263='Tablas AR'!$B$12,3,"")))</f>
        <v/>
      </c>
      <c r="I263" s="26" t="str">
        <f t="shared" si="4"/>
        <v/>
      </c>
    </row>
    <row r="264" spans="2:9" x14ac:dyDescent="0.25">
      <c r="B264" s="27" t="str">
        <f>IFERROR(INDEX(Activos!$B$3:$C$16, MATCH(C264,Activos!$B$3:$B$16),2),"")</f>
        <v/>
      </c>
      <c r="C264" s="27"/>
      <c r="D264" s="27"/>
      <c r="E264" s="25"/>
      <c r="F264" s="26" t="str">
        <f>IF(E264='Tablas AR'!$B$4,1,IF('Análisis de Riesgos'!E264='Tablas AR'!$B$5,2,IF('Análisis de Riesgos'!E264='Tablas AR'!$B$6,3,"")))</f>
        <v/>
      </c>
      <c r="G264" s="25"/>
      <c r="H264" s="26" t="str">
        <f>IF(G264='Tablas AR'!$B$10,1,IF('Análisis de Riesgos'!G264='Tablas AR'!$B$11,2,IF('Análisis de Riesgos'!G264='Tablas AR'!$B$12,3,"")))</f>
        <v/>
      </c>
      <c r="I264" s="26" t="str">
        <f t="shared" si="4"/>
        <v/>
      </c>
    </row>
    <row r="265" spans="2:9" x14ac:dyDescent="0.25">
      <c r="B265" s="27" t="str">
        <f>IFERROR(INDEX(Activos!$B$3:$C$16, MATCH(C265,Activos!$B$3:$B$16),2),"")</f>
        <v/>
      </c>
      <c r="C265" s="27"/>
      <c r="D265" s="27"/>
      <c r="E265" s="25"/>
      <c r="F265" s="26" t="str">
        <f>IF(E265='Tablas AR'!$B$4,1,IF('Análisis de Riesgos'!E265='Tablas AR'!$B$5,2,IF('Análisis de Riesgos'!E265='Tablas AR'!$B$6,3,"")))</f>
        <v/>
      </c>
      <c r="G265" s="25"/>
      <c r="H265" s="26" t="str">
        <f>IF(G265='Tablas AR'!$B$10,1,IF('Análisis de Riesgos'!G265='Tablas AR'!$B$11,2,IF('Análisis de Riesgos'!G265='Tablas AR'!$B$12,3,"")))</f>
        <v/>
      </c>
      <c r="I265" s="26" t="str">
        <f t="shared" si="4"/>
        <v/>
      </c>
    </row>
    <row r="266" spans="2:9" x14ac:dyDescent="0.25">
      <c r="B266" s="27" t="str">
        <f>IFERROR(INDEX(Activos!$B$3:$C$16, MATCH(C266,Activos!$B$3:$B$16),2),"")</f>
        <v/>
      </c>
      <c r="C266" s="27"/>
      <c r="D266" s="27"/>
      <c r="E266" s="25"/>
      <c r="F266" s="26" t="str">
        <f>IF(E266='Tablas AR'!$B$4,1,IF('Análisis de Riesgos'!E266='Tablas AR'!$B$5,2,IF('Análisis de Riesgos'!E266='Tablas AR'!$B$6,3,"")))</f>
        <v/>
      </c>
      <c r="G266" s="25"/>
      <c r="H266" s="26" t="str">
        <f>IF(G266='Tablas AR'!$B$10,1,IF('Análisis de Riesgos'!G266='Tablas AR'!$B$11,2,IF('Análisis de Riesgos'!G266='Tablas AR'!$B$12,3,"")))</f>
        <v/>
      </c>
      <c r="I266" s="26" t="str">
        <f t="shared" si="4"/>
        <v/>
      </c>
    </row>
    <row r="267" spans="2:9" x14ac:dyDescent="0.25">
      <c r="B267" s="27" t="str">
        <f>IFERROR(INDEX(Activos!$B$3:$C$16, MATCH(C267,Activos!$B$3:$B$16),2),"")</f>
        <v/>
      </c>
      <c r="C267" s="27"/>
      <c r="D267" s="27"/>
      <c r="E267" s="25"/>
      <c r="F267" s="26" t="str">
        <f>IF(E267='Tablas AR'!$B$4,1,IF('Análisis de Riesgos'!E267='Tablas AR'!$B$5,2,IF('Análisis de Riesgos'!E267='Tablas AR'!$B$6,3,"")))</f>
        <v/>
      </c>
      <c r="G267" s="25"/>
      <c r="H267" s="26" t="str">
        <f>IF(G267='Tablas AR'!$B$10,1,IF('Análisis de Riesgos'!G267='Tablas AR'!$B$11,2,IF('Análisis de Riesgos'!G267='Tablas AR'!$B$12,3,"")))</f>
        <v/>
      </c>
      <c r="I267" s="26" t="str">
        <f t="shared" si="4"/>
        <v/>
      </c>
    </row>
    <row r="268" spans="2:9" x14ac:dyDescent="0.25">
      <c r="B268" s="27" t="str">
        <f>IFERROR(INDEX(Activos!$B$3:$C$16, MATCH(C268,Activos!$B$3:$B$16),2),"")</f>
        <v/>
      </c>
      <c r="C268" s="27"/>
      <c r="D268" s="27"/>
      <c r="E268" s="25"/>
      <c r="F268" s="26" t="str">
        <f>IF(E268='Tablas AR'!$B$4,1,IF('Análisis de Riesgos'!E268='Tablas AR'!$B$5,2,IF('Análisis de Riesgos'!E268='Tablas AR'!$B$6,3,"")))</f>
        <v/>
      </c>
      <c r="G268" s="25"/>
      <c r="H268" s="26" t="str">
        <f>IF(G268='Tablas AR'!$B$10,1,IF('Análisis de Riesgos'!G268='Tablas AR'!$B$11,2,IF('Análisis de Riesgos'!G268='Tablas AR'!$B$12,3,"")))</f>
        <v/>
      </c>
      <c r="I268" s="26" t="str">
        <f t="shared" si="4"/>
        <v/>
      </c>
    </row>
    <row r="269" spans="2:9" x14ac:dyDescent="0.25">
      <c r="B269" s="27" t="str">
        <f>IFERROR(INDEX(Activos!$B$3:$C$16, MATCH(C269,Activos!$B$3:$B$16),2),"")</f>
        <v/>
      </c>
      <c r="C269" s="27"/>
      <c r="D269" s="27"/>
      <c r="E269" s="25"/>
      <c r="F269" s="26" t="str">
        <f>IF(E269='Tablas AR'!$B$4,1,IF('Análisis de Riesgos'!E269='Tablas AR'!$B$5,2,IF('Análisis de Riesgos'!E269='Tablas AR'!$B$6,3,"")))</f>
        <v/>
      </c>
      <c r="G269" s="25"/>
      <c r="H269" s="26" t="str">
        <f>IF(G269='Tablas AR'!$B$10,1,IF('Análisis de Riesgos'!G269='Tablas AR'!$B$11,2,IF('Análisis de Riesgos'!G269='Tablas AR'!$B$12,3,"")))</f>
        <v/>
      </c>
      <c r="I269" s="26" t="str">
        <f t="shared" si="4"/>
        <v/>
      </c>
    </row>
    <row r="270" spans="2:9" x14ac:dyDescent="0.25">
      <c r="B270" s="27" t="str">
        <f>IFERROR(INDEX(Activos!$B$3:$C$16, MATCH(C270,Activos!$B$3:$B$16),2),"")</f>
        <v/>
      </c>
      <c r="C270" s="27"/>
      <c r="D270" s="27"/>
      <c r="E270" s="25"/>
      <c r="F270" s="26" t="str">
        <f>IF(E270='Tablas AR'!$B$4,1,IF('Análisis de Riesgos'!E270='Tablas AR'!$B$5,2,IF('Análisis de Riesgos'!E270='Tablas AR'!$B$6,3,"")))</f>
        <v/>
      </c>
      <c r="G270" s="25"/>
      <c r="H270" s="26" t="str">
        <f>IF(G270='Tablas AR'!$B$10,1,IF('Análisis de Riesgos'!G270='Tablas AR'!$B$11,2,IF('Análisis de Riesgos'!G270='Tablas AR'!$B$12,3,"")))</f>
        <v/>
      </c>
      <c r="I270" s="26" t="str">
        <f t="shared" si="4"/>
        <v/>
      </c>
    </row>
    <row r="271" spans="2:9" x14ac:dyDescent="0.25">
      <c r="B271" s="27" t="str">
        <f>IFERROR(INDEX(Activos!$B$3:$C$16, MATCH(C271,Activos!$B$3:$B$16),2),"")</f>
        <v/>
      </c>
      <c r="C271" s="27"/>
      <c r="D271" s="27"/>
      <c r="E271" s="25"/>
      <c r="F271" s="26" t="str">
        <f>IF(E271='Tablas AR'!$B$4,1,IF('Análisis de Riesgos'!E271='Tablas AR'!$B$5,2,IF('Análisis de Riesgos'!E271='Tablas AR'!$B$6,3,"")))</f>
        <v/>
      </c>
      <c r="G271" s="25"/>
      <c r="H271" s="26" t="str">
        <f>IF(G271='Tablas AR'!$B$10,1,IF('Análisis de Riesgos'!G271='Tablas AR'!$B$11,2,IF('Análisis de Riesgos'!G271='Tablas AR'!$B$12,3,"")))</f>
        <v/>
      </c>
      <c r="I271" s="26" t="str">
        <f t="shared" si="4"/>
        <v/>
      </c>
    </row>
    <row r="272" spans="2:9" x14ac:dyDescent="0.25">
      <c r="B272" s="27" t="str">
        <f>IFERROR(INDEX(Activos!$B$3:$C$16, MATCH(C272,Activos!$B$3:$B$16),2),"")</f>
        <v/>
      </c>
      <c r="C272" s="27"/>
      <c r="D272" s="27"/>
      <c r="E272" s="25"/>
      <c r="F272" s="26" t="str">
        <f>IF(E272='Tablas AR'!$B$4,1,IF('Análisis de Riesgos'!E272='Tablas AR'!$B$5,2,IF('Análisis de Riesgos'!E272='Tablas AR'!$B$6,3,"")))</f>
        <v/>
      </c>
      <c r="G272" s="25"/>
      <c r="H272" s="26" t="str">
        <f>IF(G272='Tablas AR'!$B$10,1,IF('Análisis de Riesgos'!G272='Tablas AR'!$B$11,2,IF('Análisis de Riesgos'!G272='Tablas AR'!$B$12,3,"")))</f>
        <v/>
      </c>
      <c r="I272" s="26" t="str">
        <f t="shared" si="4"/>
        <v/>
      </c>
    </row>
    <row r="273" spans="2:9" x14ac:dyDescent="0.25">
      <c r="B273" s="27" t="str">
        <f>IFERROR(INDEX(Activos!$B$3:$C$16, MATCH(C273,Activos!$B$3:$B$16),2),"")</f>
        <v/>
      </c>
      <c r="C273" s="27"/>
      <c r="D273" s="27"/>
      <c r="E273" s="25"/>
      <c r="F273" s="26" t="str">
        <f>IF(E273='Tablas AR'!$B$4,1,IF('Análisis de Riesgos'!E273='Tablas AR'!$B$5,2,IF('Análisis de Riesgos'!E273='Tablas AR'!$B$6,3,"")))</f>
        <v/>
      </c>
      <c r="G273" s="25"/>
      <c r="H273" s="26" t="str">
        <f>IF(G273='Tablas AR'!$B$10,1,IF('Análisis de Riesgos'!G273='Tablas AR'!$B$11,2,IF('Análisis de Riesgos'!G273='Tablas AR'!$B$12,3,"")))</f>
        <v/>
      </c>
      <c r="I273" s="26" t="str">
        <f t="shared" si="4"/>
        <v/>
      </c>
    </row>
    <row r="274" spans="2:9" x14ac:dyDescent="0.25">
      <c r="B274" s="27" t="str">
        <f>IFERROR(INDEX(Activos!$B$3:$C$16, MATCH(C274,Activos!$B$3:$B$16),2),"")</f>
        <v/>
      </c>
      <c r="C274" s="27"/>
      <c r="D274" s="27"/>
      <c r="E274" s="25"/>
      <c r="F274" s="26" t="str">
        <f>IF(E274='Tablas AR'!$B$4,1,IF('Análisis de Riesgos'!E274='Tablas AR'!$B$5,2,IF('Análisis de Riesgos'!E274='Tablas AR'!$B$6,3,"")))</f>
        <v/>
      </c>
      <c r="G274" s="25"/>
      <c r="H274" s="26" t="str">
        <f>IF(G274='Tablas AR'!$B$10,1,IF('Análisis de Riesgos'!G274='Tablas AR'!$B$11,2,IF('Análisis de Riesgos'!G274='Tablas AR'!$B$12,3,"")))</f>
        <v/>
      </c>
      <c r="I274" s="26" t="str">
        <f t="shared" si="4"/>
        <v/>
      </c>
    </row>
    <row r="275" spans="2:9" x14ac:dyDescent="0.25">
      <c r="B275" s="27" t="str">
        <f>IFERROR(INDEX(Activos!$B$3:$C$16, MATCH(C275,Activos!$B$3:$B$16),2),"")</f>
        <v/>
      </c>
      <c r="C275" s="27"/>
      <c r="D275" s="27"/>
      <c r="E275" s="25"/>
      <c r="F275" s="26" t="str">
        <f>IF(E275='Tablas AR'!$B$4,1,IF('Análisis de Riesgos'!E275='Tablas AR'!$B$5,2,IF('Análisis de Riesgos'!E275='Tablas AR'!$B$6,3,"")))</f>
        <v/>
      </c>
      <c r="G275" s="25"/>
      <c r="H275" s="26" t="str">
        <f>IF(G275='Tablas AR'!$B$10,1,IF('Análisis de Riesgos'!G275='Tablas AR'!$B$11,2,IF('Análisis de Riesgos'!G275='Tablas AR'!$B$12,3,"")))</f>
        <v/>
      </c>
      <c r="I275" s="26" t="str">
        <f t="shared" si="4"/>
        <v/>
      </c>
    </row>
    <row r="276" spans="2:9" x14ac:dyDescent="0.25">
      <c r="B276" s="27" t="str">
        <f>IFERROR(INDEX(Activos!$B$3:$C$16, MATCH(C276,Activos!$B$3:$B$16),2),"")</f>
        <v/>
      </c>
      <c r="C276" s="27"/>
      <c r="D276" s="27"/>
      <c r="E276" s="25"/>
      <c r="F276" s="26" t="str">
        <f>IF(E276='Tablas AR'!$B$4,1,IF('Análisis de Riesgos'!E276='Tablas AR'!$B$5,2,IF('Análisis de Riesgos'!E276='Tablas AR'!$B$6,3,"")))</f>
        <v/>
      </c>
      <c r="G276" s="25"/>
      <c r="H276" s="26" t="str">
        <f>IF(G276='Tablas AR'!$B$10,1,IF('Análisis de Riesgos'!G276='Tablas AR'!$B$11,2,IF('Análisis de Riesgos'!G276='Tablas AR'!$B$12,3,"")))</f>
        <v/>
      </c>
      <c r="I276" s="26" t="str">
        <f t="shared" si="4"/>
        <v/>
      </c>
    </row>
    <row r="277" spans="2:9" x14ac:dyDescent="0.25">
      <c r="B277" s="27" t="str">
        <f>IFERROR(INDEX(Activos!$B$3:$C$16, MATCH(C277,Activos!$B$3:$B$16),2),"")</f>
        <v/>
      </c>
      <c r="C277" s="27"/>
      <c r="D277" s="27"/>
      <c r="E277" s="25"/>
      <c r="F277" s="26" t="str">
        <f>IF(E277='Tablas AR'!$B$4,1,IF('Análisis de Riesgos'!E277='Tablas AR'!$B$5,2,IF('Análisis de Riesgos'!E277='Tablas AR'!$B$6,3,"")))</f>
        <v/>
      </c>
      <c r="G277" s="25"/>
      <c r="H277" s="26" t="str">
        <f>IF(G277='Tablas AR'!$B$10,1,IF('Análisis de Riesgos'!G277='Tablas AR'!$B$11,2,IF('Análisis de Riesgos'!G277='Tablas AR'!$B$12,3,"")))</f>
        <v/>
      </c>
      <c r="I277" s="26" t="str">
        <f t="shared" si="4"/>
        <v/>
      </c>
    </row>
    <row r="278" spans="2:9" x14ac:dyDescent="0.25">
      <c r="B278" s="27" t="str">
        <f>IFERROR(INDEX(Activos!$B$3:$C$16, MATCH(C278,Activos!$B$3:$B$16),2),"")</f>
        <v/>
      </c>
      <c r="C278" s="27"/>
      <c r="D278" s="27"/>
      <c r="E278" s="25"/>
      <c r="F278" s="26" t="str">
        <f>IF(E278='Tablas AR'!$B$4,1,IF('Análisis de Riesgos'!E278='Tablas AR'!$B$5,2,IF('Análisis de Riesgos'!E278='Tablas AR'!$B$6,3,"")))</f>
        <v/>
      </c>
      <c r="G278" s="25"/>
      <c r="H278" s="26" t="str">
        <f>IF(G278='Tablas AR'!$B$10,1,IF('Análisis de Riesgos'!G278='Tablas AR'!$B$11,2,IF('Análisis de Riesgos'!G278='Tablas AR'!$B$12,3,"")))</f>
        <v/>
      </c>
      <c r="I278" s="26" t="str">
        <f t="shared" si="4"/>
        <v/>
      </c>
    </row>
    <row r="279" spans="2:9" x14ac:dyDescent="0.25">
      <c r="B279" s="27" t="str">
        <f>IFERROR(INDEX(Activos!$B$3:$C$16, MATCH(C279,Activos!$B$3:$B$16),2),"")</f>
        <v/>
      </c>
      <c r="C279" s="27"/>
      <c r="D279" s="27"/>
      <c r="E279" s="25"/>
      <c r="F279" s="26" t="str">
        <f>IF(E279='Tablas AR'!$B$4,1,IF('Análisis de Riesgos'!E279='Tablas AR'!$B$5,2,IF('Análisis de Riesgos'!E279='Tablas AR'!$B$6,3,"")))</f>
        <v/>
      </c>
      <c r="G279" s="25"/>
      <c r="H279" s="26" t="str">
        <f>IF(G279='Tablas AR'!$B$10,1,IF('Análisis de Riesgos'!G279='Tablas AR'!$B$11,2,IF('Análisis de Riesgos'!G279='Tablas AR'!$B$12,3,"")))</f>
        <v/>
      </c>
      <c r="I279" s="26" t="str">
        <f t="shared" si="4"/>
        <v/>
      </c>
    </row>
    <row r="280" spans="2:9" x14ac:dyDescent="0.25">
      <c r="B280" s="27" t="str">
        <f>IFERROR(INDEX(Activos!$B$3:$C$16, MATCH(C280,Activos!$B$3:$B$16),2),"")</f>
        <v/>
      </c>
      <c r="C280" s="27"/>
      <c r="D280" s="27"/>
      <c r="E280" s="25"/>
      <c r="F280" s="26" t="str">
        <f>IF(E280='Tablas AR'!$B$4,1,IF('Análisis de Riesgos'!E280='Tablas AR'!$B$5,2,IF('Análisis de Riesgos'!E280='Tablas AR'!$B$6,3,"")))</f>
        <v/>
      </c>
      <c r="G280" s="25"/>
      <c r="H280" s="26" t="str">
        <f>IF(G280='Tablas AR'!$B$10,1,IF('Análisis de Riesgos'!G280='Tablas AR'!$B$11,2,IF('Análisis de Riesgos'!G280='Tablas AR'!$B$12,3,"")))</f>
        <v/>
      </c>
      <c r="I280" s="26" t="str">
        <f t="shared" si="4"/>
        <v/>
      </c>
    </row>
    <row r="281" spans="2:9" x14ac:dyDescent="0.25">
      <c r="B281" s="27" t="str">
        <f>IFERROR(INDEX(Activos!$B$3:$C$16, MATCH(C281,Activos!$B$3:$B$16),2),"")</f>
        <v/>
      </c>
      <c r="C281" s="27"/>
      <c r="D281" s="27"/>
      <c r="E281" s="25"/>
      <c r="F281" s="26" t="str">
        <f>IF(E281='Tablas AR'!$B$4,1,IF('Análisis de Riesgos'!E281='Tablas AR'!$B$5,2,IF('Análisis de Riesgos'!E281='Tablas AR'!$B$6,3,"")))</f>
        <v/>
      </c>
      <c r="G281" s="25"/>
      <c r="H281" s="26" t="str">
        <f>IF(G281='Tablas AR'!$B$10,1,IF('Análisis de Riesgos'!G281='Tablas AR'!$B$11,2,IF('Análisis de Riesgos'!G281='Tablas AR'!$B$12,3,"")))</f>
        <v/>
      </c>
      <c r="I281" s="26" t="str">
        <f t="shared" si="4"/>
        <v/>
      </c>
    </row>
    <row r="282" spans="2:9" x14ac:dyDescent="0.25">
      <c r="B282" s="27" t="str">
        <f>IFERROR(INDEX(Activos!$B$3:$C$16, MATCH(C282,Activos!$B$3:$B$16),2),"")</f>
        <v/>
      </c>
      <c r="C282" s="27"/>
      <c r="D282" s="27"/>
      <c r="E282" s="25"/>
      <c r="F282" s="26" t="str">
        <f>IF(E282='Tablas AR'!$B$4,1,IF('Análisis de Riesgos'!E282='Tablas AR'!$B$5,2,IF('Análisis de Riesgos'!E282='Tablas AR'!$B$6,3,"")))</f>
        <v/>
      </c>
      <c r="G282" s="25"/>
      <c r="H282" s="26" t="str">
        <f>IF(G282='Tablas AR'!$B$10,1,IF('Análisis de Riesgos'!G282='Tablas AR'!$B$11,2,IF('Análisis de Riesgos'!G282='Tablas AR'!$B$12,3,"")))</f>
        <v/>
      </c>
      <c r="I282" s="26" t="str">
        <f t="shared" si="4"/>
        <v/>
      </c>
    </row>
    <row r="283" spans="2:9" x14ac:dyDescent="0.25">
      <c r="B283" s="27" t="str">
        <f>IFERROR(INDEX(Activos!$B$3:$C$16, MATCH(C283,Activos!$B$3:$B$16),2),"")</f>
        <v/>
      </c>
      <c r="C283" s="27"/>
      <c r="D283" s="27"/>
      <c r="E283" s="25"/>
      <c r="F283" s="26" t="str">
        <f>IF(E283='Tablas AR'!$B$4,1,IF('Análisis de Riesgos'!E283='Tablas AR'!$B$5,2,IF('Análisis de Riesgos'!E283='Tablas AR'!$B$6,3,"")))</f>
        <v/>
      </c>
      <c r="G283" s="25"/>
      <c r="H283" s="26" t="str">
        <f>IF(G283='Tablas AR'!$B$10,1,IF('Análisis de Riesgos'!G283='Tablas AR'!$B$11,2,IF('Análisis de Riesgos'!G283='Tablas AR'!$B$12,3,"")))</f>
        <v/>
      </c>
      <c r="I283" s="26" t="str">
        <f t="shared" si="4"/>
        <v/>
      </c>
    </row>
    <row r="284" spans="2:9" x14ac:dyDescent="0.25">
      <c r="B284" s="27" t="str">
        <f>IFERROR(INDEX(Activos!$B$3:$C$16, MATCH(C284,Activos!$B$3:$B$16),2),"")</f>
        <v/>
      </c>
      <c r="C284" s="27"/>
      <c r="D284" s="27"/>
      <c r="E284" s="25"/>
      <c r="F284" s="26" t="str">
        <f>IF(E284='Tablas AR'!$B$4,1,IF('Análisis de Riesgos'!E284='Tablas AR'!$B$5,2,IF('Análisis de Riesgos'!E284='Tablas AR'!$B$6,3,"")))</f>
        <v/>
      </c>
      <c r="G284" s="25"/>
      <c r="H284" s="26" t="str">
        <f>IF(G284='Tablas AR'!$B$10,1,IF('Análisis de Riesgos'!G284='Tablas AR'!$B$11,2,IF('Análisis de Riesgos'!G284='Tablas AR'!$B$12,3,"")))</f>
        <v/>
      </c>
      <c r="I284" s="26" t="str">
        <f t="shared" si="4"/>
        <v/>
      </c>
    </row>
    <row r="285" spans="2:9" x14ac:dyDescent="0.25">
      <c r="B285" s="27" t="str">
        <f>IFERROR(INDEX(Activos!$B$3:$C$16, MATCH(C285,Activos!$B$3:$B$16),2),"")</f>
        <v/>
      </c>
      <c r="C285" s="27"/>
      <c r="D285" s="27"/>
      <c r="E285" s="25"/>
      <c r="F285" s="26" t="str">
        <f>IF(E285='Tablas AR'!$B$4,1,IF('Análisis de Riesgos'!E285='Tablas AR'!$B$5,2,IF('Análisis de Riesgos'!E285='Tablas AR'!$B$6,3,"")))</f>
        <v/>
      </c>
      <c r="G285" s="25"/>
      <c r="H285" s="26" t="str">
        <f>IF(G285='Tablas AR'!$B$10,1,IF('Análisis de Riesgos'!G285='Tablas AR'!$B$11,2,IF('Análisis de Riesgos'!G285='Tablas AR'!$B$12,3,"")))</f>
        <v/>
      </c>
      <c r="I285" s="26" t="str">
        <f t="shared" si="4"/>
        <v/>
      </c>
    </row>
    <row r="286" spans="2:9" x14ac:dyDescent="0.25">
      <c r="B286" s="27" t="str">
        <f>IFERROR(INDEX(Activos!$B$3:$C$16, MATCH(C286,Activos!$B$3:$B$16),2),"")</f>
        <v/>
      </c>
      <c r="C286" s="27"/>
      <c r="D286" s="27"/>
      <c r="E286" s="25"/>
      <c r="F286" s="26" t="str">
        <f>IF(E286='Tablas AR'!$B$4,1,IF('Análisis de Riesgos'!E286='Tablas AR'!$B$5,2,IF('Análisis de Riesgos'!E286='Tablas AR'!$B$6,3,"")))</f>
        <v/>
      </c>
      <c r="G286" s="25"/>
      <c r="H286" s="26" t="str">
        <f>IF(G286='Tablas AR'!$B$10,1,IF('Análisis de Riesgos'!G286='Tablas AR'!$B$11,2,IF('Análisis de Riesgos'!G286='Tablas AR'!$B$12,3,"")))</f>
        <v/>
      </c>
      <c r="I286" s="26" t="str">
        <f t="shared" si="4"/>
        <v/>
      </c>
    </row>
    <row r="287" spans="2:9" x14ac:dyDescent="0.25">
      <c r="B287" s="27" t="str">
        <f>IFERROR(INDEX(Activos!$B$3:$C$16, MATCH(C287,Activos!$B$3:$B$16),2),"")</f>
        <v/>
      </c>
      <c r="C287" s="27"/>
      <c r="D287" s="27"/>
      <c r="E287" s="25"/>
      <c r="F287" s="26" t="str">
        <f>IF(E287='Tablas AR'!$B$4,1,IF('Análisis de Riesgos'!E287='Tablas AR'!$B$5,2,IF('Análisis de Riesgos'!E287='Tablas AR'!$B$6,3,"")))</f>
        <v/>
      </c>
      <c r="G287" s="25"/>
      <c r="H287" s="26" t="str">
        <f>IF(G287='Tablas AR'!$B$10,1,IF('Análisis de Riesgos'!G287='Tablas AR'!$B$11,2,IF('Análisis de Riesgos'!G287='Tablas AR'!$B$12,3,"")))</f>
        <v/>
      </c>
      <c r="I287" s="26" t="str">
        <f t="shared" si="4"/>
        <v/>
      </c>
    </row>
    <row r="288" spans="2:9" x14ac:dyDescent="0.25">
      <c r="B288" s="27" t="str">
        <f>IFERROR(INDEX(Activos!$B$3:$C$16, MATCH(C288,Activos!$B$3:$B$16),2),"")</f>
        <v/>
      </c>
      <c r="C288" s="27"/>
      <c r="D288" s="27"/>
      <c r="E288" s="25"/>
      <c r="F288" s="26" t="str">
        <f>IF(E288='Tablas AR'!$B$4,1,IF('Análisis de Riesgos'!E288='Tablas AR'!$B$5,2,IF('Análisis de Riesgos'!E288='Tablas AR'!$B$6,3,"")))</f>
        <v/>
      </c>
      <c r="G288" s="25"/>
      <c r="H288" s="26" t="str">
        <f>IF(G288='Tablas AR'!$B$10,1,IF('Análisis de Riesgos'!G288='Tablas AR'!$B$11,2,IF('Análisis de Riesgos'!G288='Tablas AR'!$B$12,3,"")))</f>
        <v/>
      </c>
      <c r="I288" s="26" t="str">
        <f t="shared" si="4"/>
        <v/>
      </c>
    </row>
    <row r="289" spans="2:9" x14ac:dyDescent="0.25">
      <c r="B289" s="27" t="str">
        <f>IFERROR(INDEX(Activos!$B$3:$C$16, MATCH(C289,Activos!$B$3:$B$16),2),"")</f>
        <v/>
      </c>
      <c r="C289" s="27"/>
      <c r="D289" s="27"/>
      <c r="E289" s="25"/>
      <c r="F289" s="26" t="str">
        <f>IF(E289='Tablas AR'!$B$4,1,IF('Análisis de Riesgos'!E289='Tablas AR'!$B$5,2,IF('Análisis de Riesgos'!E289='Tablas AR'!$B$6,3,"")))</f>
        <v/>
      </c>
      <c r="G289" s="25"/>
      <c r="H289" s="26" t="str">
        <f>IF(G289='Tablas AR'!$B$10,1,IF('Análisis de Riesgos'!G289='Tablas AR'!$B$11,2,IF('Análisis de Riesgos'!G289='Tablas AR'!$B$12,3,"")))</f>
        <v/>
      </c>
      <c r="I289" s="26" t="str">
        <f t="shared" si="4"/>
        <v/>
      </c>
    </row>
    <row r="290" spans="2:9" x14ac:dyDescent="0.25">
      <c r="B290" s="27" t="str">
        <f>IFERROR(INDEX(Activos!$B$3:$C$16, MATCH(C290,Activos!$B$3:$B$16),2),"")</f>
        <v/>
      </c>
      <c r="C290" s="27"/>
      <c r="D290" s="27"/>
      <c r="E290" s="25"/>
      <c r="F290" s="26" t="str">
        <f>IF(E290='Tablas AR'!$B$4,1,IF('Análisis de Riesgos'!E290='Tablas AR'!$B$5,2,IF('Análisis de Riesgos'!E290='Tablas AR'!$B$6,3,"")))</f>
        <v/>
      </c>
      <c r="G290" s="25"/>
      <c r="H290" s="26" t="str">
        <f>IF(G290='Tablas AR'!$B$10,1,IF('Análisis de Riesgos'!G290='Tablas AR'!$B$11,2,IF('Análisis de Riesgos'!G290='Tablas AR'!$B$12,3,"")))</f>
        <v/>
      </c>
      <c r="I290" s="26" t="str">
        <f t="shared" si="4"/>
        <v/>
      </c>
    </row>
    <row r="291" spans="2:9" x14ac:dyDescent="0.25">
      <c r="B291" s="27" t="str">
        <f>IFERROR(INDEX(Activos!$B$3:$C$16, MATCH(C291,Activos!$B$3:$B$16),2),"")</f>
        <v/>
      </c>
      <c r="C291" s="27"/>
      <c r="D291" s="27"/>
      <c r="E291" s="25"/>
      <c r="F291" s="26" t="str">
        <f>IF(E291='Tablas AR'!$B$4,1,IF('Análisis de Riesgos'!E291='Tablas AR'!$B$5,2,IF('Análisis de Riesgos'!E291='Tablas AR'!$B$6,3,"")))</f>
        <v/>
      </c>
      <c r="G291" s="25"/>
      <c r="H291" s="26" t="str">
        <f>IF(G291='Tablas AR'!$B$10,1,IF('Análisis de Riesgos'!G291='Tablas AR'!$B$11,2,IF('Análisis de Riesgos'!G291='Tablas AR'!$B$12,3,"")))</f>
        <v/>
      </c>
      <c r="I291" s="26" t="str">
        <f t="shared" si="4"/>
        <v/>
      </c>
    </row>
    <row r="292" spans="2:9" x14ac:dyDescent="0.25">
      <c r="B292" s="27" t="str">
        <f>IFERROR(INDEX(Activos!$B$3:$C$16, MATCH(C292,Activos!$B$3:$B$16),2),"")</f>
        <v/>
      </c>
      <c r="C292" s="27"/>
      <c r="D292" s="27"/>
      <c r="E292" s="25"/>
      <c r="F292" s="26" t="str">
        <f>IF(E292='Tablas AR'!$B$4,1,IF('Análisis de Riesgos'!E292='Tablas AR'!$B$5,2,IF('Análisis de Riesgos'!E292='Tablas AR'!$B$6,3,"")))</f>
        <v/>
      </c>
      <c r="G292" s="25"/>
      <c r="H292" s="26" t="str">
        <f>IF(G292='Tablas AR'!$B$10,1,IF('Análisis de Riesgos'!G292='Tablas AR'!$B$11,2,IF('Análisis de Riesgos'!G292='Tablas AR'!$B$12,3,"")))</f>
        <v/>
      </c>
      <c r="I292" s="26" t="str">
        <f t="shared" si="4"/>
        <v/>
      </c>
    </row>
    <row r="293" spans="2:9" x14ac:dyDescent="0.25">
      <c r="B293" s="27" t="str">
        <f>IFERROR(INDEX(Activos!$B$3:$C$16, MATCH(C293,Activos!$B$3:$B$16),2),"")</f>
        <v/>
      </c>
      <c r="C293" s="27"/>
      <c r="D293" s="27"/>
      <c r="E293" s="25"/>
      <c r="F293" s="26" t="str">
        <f>IF(E293='Tablas AR'!$B$4,1,IF('Análisis de Riesgos'!E293='Tablas AR'!$B$5,2,IF('Análisis de Riesgos'!E293='Tablas AR'!$B$6,3,"")))</f>
        <v/>
      </c>
      <c r="G293" s="25"/>
      <c r="H293" s="26" t="str">
        <f>IF(G293='Tablas AR'!$B$10,1,IF('Análisis de Riesgos'!G293='Tablas AR'!$B$11,2,IF('Análisis de Riesgos'!G293='Tablas AR'!$B$12,3,"")))</f>
        <v/>
      </c>
      <c r="I293" s="26" t="str">
        <f t="shared" si="4"/>
        <v/>
      </c>
    </row>
    <row r="294" spans="2:9" x14ac:dyDescent="0.25">
      <c r="B294" s="27" t="str">
        <f>IFERROR(INDEX(Activos!$B$3:$C$16, MATCH(C294,Activos!$B$3:$B$16),2),"")</f>
        <v/>
      </c>
      <c r="C294" s="27"/>
      <c r="D294" s="27"/>
      <c r="E294" s="25"/>
      <c r="F294" s="26" t="str">
        <f>IF(E294='Tablas AR'!$B$4,1,IF('Análisis de Riesgos'!E294='Tablas AR'!$B$5,2,IF('Análisis de Riesgos'!E294='Tablas AR'!$B$6,3,"")))</f>
        <v/>
      </c>
      <c r="G294" s="25"/>
      <c r="H294" s="26" t="str">
        <f>IF(G294='Tablas AR'!$B$10,1,IF('Análisis de Riesgos'!G294='Tablas AR'!$B$11,2,IF('Análisis de Riesgos'!G294='Tablas AR'!$B$12,3,"")))</f>
        <v/>
      </c>
      <c r="I294" s="26" t="str">
        <f t="shared" si="4"/>
        <v/>
      </c>
    </row>
    <row r="295" spans="2:9" x14ac:dyDescent="0.25">
      <c r="B295" s="27" t="str">
        <f>IFERROR(INDEX(Activos!$B$3:$C$16, MATCH(C295,Activos!$B$3:$B$16),2),"")</f>
        <v/>
      </c>
      <c r="C295" s="27"/>
      <c r="D295" s="27"/>
      <c r="E295" s="25"/>
      <c r="F295" s="26" t="str">
        <f>IF(E295='Tablas AR'!$B$4,1,IF('Análisis de Riesgos'!E295='Tablas AR'!$B$5,2,IF('Análisis de Riesgos'!E295='Tablas AR'!$B$6,3,"")))</f>
        <v/>
      </c>
      <c r="G295" s="25"/>
      <c r="H295" s="26" t="str">
        <f>IF(G295='Tablas AR'!$B$10,1,IF('Análisis de Riesgos'!G295='Tablas AR'!$B$11,2,IF('Análisis de Riesgos'!G295='Tablas AR'!$B$12,3,"")))</f>
        <v/>
      </c>
      <c r="I295" s="26" t="str">
        <f t="shared" si="4"/>
        <v/>
      </c>
    </row>
    <row r="296" spans="2:9" x14ac:dyDescent="0.25">
      <c r="B296" s="27" t="str">
        <f>IFERROR(INDEX(Activos!$B$3:$C$16, MATCH(C296,Activos!$B$3:$B$16),2),"")</f>
        <v/>
      </c>
      <c r="C296" s="27"/>
      <c r="D296" s="27"/>
      <c r="E296" s="25"/>
      <c r="F296" s="26" t="str">
        <f>IF(E296='Tablas AR'!$B$4,1,IF('Análisis de Riesgos'!E296='Tablas AR'!$B$5,2,IF('Análisis de Riesgos'!E296='Tablas AR'!$B$6,3,"")))</f>
        <v/>
      </c>
      <c r="G296" s="25"/>
      <c r="H296" s="26" t="str">
        <f>IF(G296='Tablas AR'!$B$10,1,IF('Análisis de Riesgos'!G296='Tablas AR'!$B$11,2,IF('Análisis de Riesgos'!G296='Tablas AR'!$B$12,3,"")))</f>
        <v/>
      </c>
      <c r="I296" s="26" t="str">
        <f t="shared" si="4"/>
        <v/>
      </c>
    </row>
    <row r="297" spans="2:9" x14ac:dyDescent="0.25">
      <c r="B297" s="27" t="str">
        <f>IFERROR(INDEX(Activos!$B$3:$C$16, MATCH(C297,Activos!$B$3:$B$16),2),"")</f>
        <v/>
      </c>
      <c r="C297" s="27"/>
      <c r="D297" s="27"/>
      <c r="E297" s="25"/>
      <c r="F297" s="26" t="str">
        <f>IF(E297='Tablas AR'!$B$4,1,IF('Análisis de Riesgos'!E297='Tablas AR'!$B$5,2,IF('Análisis de Riesgos'!E297='Tablas AR'!$B$6,3,"")))</f>
        <v/>
      </c>
      <c r="G297" s="25"/>
      <c r="H297" s="26" t="str">
        <f>IF(G297='Tablas AR'!$B$10,1,IF('Análisis de Riesgos'!G297='Tablas AR'!$B$11,2,IF('Análisis de Riesgos'!G297='Tablas AR'!$B$12,3,"")))</f>
        <v/>
      </c>
      <c r="I297" s="26" t="str">
        <f t="shared" si="4"/>
        <v/>
      </c>
    </row>
    <row r="298" spans="2:9" x14ac:dyDescent="0.25">
      <c r="B298" s="27" t="str">
        <f>IFERROR(INDEX(Activos!$B$3:$C$16, MATCH(C298,Activos!$B$3:$B$16),2),"")</f>
        <v/>
      </c>
      <c r="C298" s="27"/>
      <c r="D298" s="27"/>
      <c r="E298" s="25"/>
      <c r="F298" s="26" t="str">
        <f>IF(E298='Tablas AR'!$B$4,1,IF('Análisis de Riesgos'!E298='Tablas AR'!$B$5,2,IF('Análisis de Riesgos'!E298='Tablas AR'!$B$6,3,"")))</f>
        <v/>
      </c>
      <c r="G298" s="25"/>
      <c r="H298" s="26" t="str">
        <f>IF(G298='Tablas AR'!$B$10,1,IF('Análisis de Riesgos'!G298='Tablas AR'!$B$11,2,IF('Análisis de Riesgos'!G298='Tablas AR'!$B$12,3,"")))</f>
        <v/>
      </c>
      <c r="I298" s="26" t="str">
        <f t="shared" si="4"/>
        <v/>
      </c>
    </row>
    <row r="299" spans="2:9" x14ac:dyDescent="0.25">
      <c r="B299" s="27" t="str">
        <f>IFERROR(INDEX(Activos!$B$3:$C$16, MATCH(C299,Activos!$B$3:$B$16),2),"")</f>
        <v/>
      </c>
      <c r="C299" s="27"/>
      <c r="D299" s="27"/>
      <c r="E299" s="25"/>
      <c r="F299" s="26" t="str">
        <f>IF(E299='Tablas AR'!$B$4,1,IF('Análisis de Riesgos'!E299='Tablas AR'!$B$5,2,IF('Análisis de Riesgos'!E299='Tablas AR'!$B$6,3,"")))</f>
        <v/>
      </c>
      <c r="G299" s="25"/>
      <c r="H299" s="26" t="str">
        <f>IF(G299='Tablas AR'!$B$10,1,IF('Análisis de Riesgos'!G299='Tablas AR'!$B$11,2,IF('Análisis de Riesgos'!G299='Tablas AR'!$B$12,3,"")))</f>
        <v/>
      </c>
      <c r="I299" s="26" t="str">
        <f t="shared" si="4"/>
        <v/>
      </c>
    </row>
    <row r="300" spans="2:9" x14ac:dyDescent="0.25">
      <c r="B300" s="27" t="str">
        <f>IFERROR(INDEX(Activos!$B$3:$C$16, MATCH(C300,Activos!$B$3:$B$16),2),"")</f>
        <v/>
      </c>
      <c r="C300" s="27"/>
      <c r="D300" s="27"/>
      <c r="E300" s="25"/>
      <c r="F300" s="26" t="str">
        <f>IF(E300='Tablas AR'!$B$4,1,IF('Análisis de Riesgos'!E300='Tablas AR'!$B$5,2,IF('Análisis de Riesgos'!E300='Tablas AR'!$B$6,3,"")))</f>
        <v/>
      </c>
      <c r="G300" s="25"/>
      <c r="H300" s="26" t="str">
        <f>IF(G300='Tablas AR'!$B$10,1,IF('Análisis de Riesgos'!G300='Tablas AR'!$B$11,2,IF('Análisis de Riesgos'!G300='Tablas AR'!$B$12,3,"")))</f>
        <v/>
      </c>
      <c r="I300" s="26" t="str">
        <f t="shared" si="4"/>
        <v/>
      </c>
    </row>
    <row r="301" spans="2:9" x14ac:dyDescent="0.25">
      <c r="B301" s="27" t="str">
        <f>IFERROR(INDEX(Activos!$B$3:$C$16, MATCH(C301,Activos!$B$3:$B$16),2),"")</f>
        <v/>
      </c>
      <c r="C301" s="27"/>
      <c r="D301" s="27"/>
      <c r="E301" s="25"/>
      <c r="F301" s="26" t="str">
        <f>IF(E301='Tablas AR'!$B$4,1,IF('Análisis de Riesgos'!E301='Tablas AR'!$B$5,2,IF('Análisis de Riesgos'!E301='Tablas AR'!$B$6,3,"")))</f>
        <v/>
      </c>
      <c r="G301" s="25"/>
      <c r="H301" s="26" t="str">
        <f>IF(G301='Tablas AR'!$B$10,1,IF('Análisis de Riesgos'!G301='Tablas AR'!$B$11,2,IF('Análisis de Riesgos'!G301='Tablas AR'!$B$12,3,"")))</f>
        <v/>
      </c>
      <c r="I301" s="26" t="str">
        <f t="shared" si="4"/>
        <v/>
      </c>
    </row>
    <row r="302" spans="2:9" x14ac:dyDescent="0.25">
      <c r="B302" s="27" t="str">
        <f>IFERROR(INDEX(Activos!$B$3:$C$16, MATCH(C302,Activos!$B$3:$B$16),2),"")</f>
        <v/>
      </c>
      <c r="C302" s="27"/>
      <c r="D302" s="27"/>
      <c r="E302" s="25"/>
      <c r="F302" s="26" t="str">
        <f>IF(E302='Tablas AR'!$B$4,1,IF('Análisis de Riesgos'!E302='Tablas AR'!$B$5,2,IF('Análisis de Riesgos'!E302='Tablas AR'!$B$6,3,"")))</f>
        <v/>
      </c>
      <c r="G302" s="25"/>
      <c r="H302" s="26" t="str">
        <f>IF(G302='Tablas AR'!$B$10,1,IF('Análisis de Riesgos'!G302='Tablas AR'!$B$11,2,IF('Análisis de Riesgos'!G302='Tablas AR'!$B$12,3,"")))</f>
        <v/>
      </c>
      <c r="I302" s="26" t="str">
        <f t="shared" si="4"/>
        <v/>
      </c>
    </row>
    <row r="303" spans="2:9" x14ac:dyDescent="0.25">
      <c r="B303" s="27" t="str">
        <f>IFERROR(INDEX(Activos!$B$3:$C$16, MATCH(C303,Activos!$B$3:$B$16),2),"")</f>
        <v/>
      </c>
      <c r="C303" s="27"/>
      <c r="D303" s="27"/>
      <c r="E303" s="25"/>
      <c r="F303" s="26" t="str">
        <f>IF(E303='Tablas AR'!$B$4,1,IF('Análisis de Riesgos'!E303='Tablas AR'!$B$5,2,IF('Análisis de Riesgos'!E303='Tablas AR'!$B$6,3,"")))</f>
        <v/>
      </c>
      <c r="G303" s="25"/>
      <c r="H303" s="26" t="str">
        <f>IF(G303='Tablas AR'!$B$10,1,IF('Análisis de Riesgos'!G303='Tablas AR'!$B$11,2,IF('Análisis de Riesgos'!G303='Tablas AR'!$B$12,3,"")))</f>
        <v/>
      </c>
      <c r="I303" s="26" t="str">
        <f t="shared" si="4"/>
        <v/>
      </c>
    </row>
    <row r="304" spans="2:9" x14ac:dyDescent="0.25">
      <c r="B304" s="27" t="str">
        <f>IFERROR(INDEX(Activos!$B$3:$C$16, MATCH(C304,Activos!$B$3:$B$16),2),"")</f>
        <v/>
      </c>
      <c r="C304" s="27"/>
      <c r="D304" s="27"/>
      <c r="E304" s="25"/>
      <c r="F304" s="26" t="str">
        <f>IF(E304='Tablas AR'!$B$4,1,IF('Análisis de Riesgos'!E304='Tablas AR'!$B$5,2,IF('Análisis de Riesgos'!E304='Tablas AR'!$B$6,3,"")))</f>
        <v/>
      </c>
      <c r="G304" s="25"/>
      <c r="H304" s="26" t="str">
        <f>IF(G304='Tablas AR'!$B$10,1,IF('Análisis de Riesgos'!G304='Tablas AR'!$B$11,2,IF('Análisis de Riesgos'!G304='Tablas AR'!$B$12,3,"")))</f>
        <v/>
      </c>
      <c r="I304" s="26" t="str">
        <f t="shared" si="4"/>
        <v/>
      </c>
    </row>
    <row r="305" spans="2:9" x14ac:dyDescent="0.25">
      <c r="B305" s="27" t="str">
        <f>IFERROR(INDEX(Activos!$B$3:$C$16, MATCH(C305,Activos!$B$3:$B$16),2),"")</f>
        <v/>
      </c>
      <c r="C305" s="27"/>
      <c r="D305" s="27"/>
      <c r="E305" s="25"/>
      <c r="F305" s="26" t="str">
        <f>IF(E305='Tablas AR'!$B$4,1,IF('Análisis de Riesgos'!E305='Tablas AR'!$B$5,2,IF('Análisis de Riesgos'!E305='Tablas AR'!$B$6,3,"")))</f>
        <v/>
      </c>
      <c r="G305" s="25"/>
      <c r="H305" s="26" t="str">
        <f>IF(G305='Tablas AR'!$B$10,1,IF('Análisis de Riesgos'!G305='Tablas AR'!$B$11,2,IF('Análisis de Riesgos'!G305='Tablas AR'!$B$12,3,"")))</f>
        <v/>
      </c>
      <c r="I305" s="26" t="str">
        <f t="shared" si="4"/>
        <v/>
      </c>
    </row>
    <row r="306" spans="2:9" x14ac:dyDescent="0.25">
      <c r="B306" s="27" t="str">
        <f>IFERROR(INDEX(Activos!$B$3:$C$16, MATCH(C306,Activos!$B$3:$B$16),2),"")</f>
        <v/>
      </c>
      <c r="C306" s="27"/>
      <c r="D306" s="27"/>
      <c r="E306" s="25"/>
      <c r="F306" s="26" t="str">
        <f>IF(E306='Tablas AR'!$B$4,1,IF('Análisis de Riesgos'!E306='Tablas AR'!$B$5,2,IF('Análisis de Riesgos'!E306='Tablas AR'!$B$6,3,"")))</f>
        <v/>
      </c>
      <c r="G306" s="25"/>
      <c r="H306" s="26" t="str">
        <f>IF(G306='Tablas AR'!$B$10,1,IF('Análisis de Riesgos'!G306='Tablas AR'!$B$11,2,IF('Análisis de Riesgos'!G306='Tablas AR'!$B$12,3,"")))</f>
        <v/>
      </c>
      <c r="I306" s="26" t="str">
        <f t="shared" si="4"/>
        <v/>
      </c>
    </row>
    <row r="307" spans="2:9" x14ac:dyDescent="0.25">
      <c r="B307" s="27" t="str">
        <f>IFERROR(INDEX(Activos!$B$3:$C$16, MATCH(C307,Activos!$B$3:$B$16),2),"")</f>
        <v/>
      </c>
      <c r="C307" s="27"/>
      <c r="D307" s="27"/>
      <c r="E307" s="25"/>
      <c r="F307" s="26" t="str">
        <f>IF(E307='Tablas AR'!$B$4,1,IF('Análisis de Riesgos'!E307='Tablas AR'!$B$5,2,IF('Análisis de Riesgos'!E307='Tablas AR'!$B$6,3,"")))</f>
        <v/>
      </c>
      <c r="G307" s="25"/>
      <c r="H307" s="26" t="str">
        <f>IF(G307='Tablas AR'!$B$10,1,IF('Análisis de Riesgos'!G307='Tablas AR'!$B$11,2,IF('Análisis de Riesgos'!G307='Tablas AR'!$B$12,3,"")))</f>
        <v/>
      </c>
      <c r="I307" s="26" t="str">
        <f t="shared" si="4"/>
        <v/>
      </c>
    </row>
    <row r="308" spans="2:9" x14ac:dyDescent="0.25">
      <c r="B308" s="27" t="str">
        <f>IFERROR(INDEX(Activos!$B$3:$C$16, MATCH(C308,Activos!$B$3:$B$16),2),"")</f>
        <v/>
      </c>
      <c r="C308" s="27"/>
      <c r="D308" s="27"/>
      <c r="E308" s="25"/>
      <c r="F308" s="26" t="str">
        <f>IF(E308='Tablas AR'!$B$4,1,IF('Análisis de Riesgos'!E308='Tablas AR'!$B$5,2,IF('Análisis de Riesgos'!E308='Tablas AR'!$B$6,3,"")))</f>
        <v/>
      </c>
      <c r="G308" s="25"/>
      <c r="H308" s="26" t="str">
        <f>IF(G308='Tablas AR'!$B$10,1,IF('Análisis de Riesgos'!G308='Tablas AR'!$B$11,2,IF('Análisis de Riesgos'!G308='Tablas AR'!$B$12,3,"")))</f>
        <v/>
      </c>
      <c r="I308" s="26" t="str">
        <f t="shared" si="4"/>
        <v/>
      </c>
    </row>
    <row r="309" spans="2:9" x14ac:dyDescent="0.25">
      <c r="B309" s="27" t="str">
        <f>IFERROR(INDEX(Activos!$B$3:$C$16, MATCH(C309,Activos!$B$3:$B$16),2),"")</f>
        <v/>
      </c>
      <c r="C309" s="27"/>
      <c r="D309" s="27"/>
      <c r="E309" s="25"/>
      <c r="F309" s="26" t="str">
        <f>IF(E309='Tablas AR'!$B$4,1,IF('Análisis de Riesgos'!E309='Tablas AR'!$B$5,2,IF('Análisis de Riesgos'!E309='Tablas AR'!$B$6,3,"")))</f>
        <v/>
      </c>
      <c r="G309" s="25"/>
      <c r="H309" s="26" t="str">
        <f>IF(G309='Tablas AR'!$B$10,1,IF('Análisis de Riesgos'!G309='Tablas AR'!$B$11,2,IF('Análisis de Riesgos'!G309='Tablas AR'!$B$12,3,"")))</f>
        <v/>
      </c>
      <c r="I309" s="26" t="str">
        <f t="shared" si="4"/>
        <v/>
      </c>
    </row>
    <row r="310" spans="2:9" x14ac:dyDescent="0.25">
      <c r="B310" s="27" t="str">
        <f>IFERROR(INDEX(Activos!$B$3:$C$16, MATCH(C310,Activos!$B$3:$B$16),2),"")</f>
        <v/>
      </c>
      <c r="C310" s="27"/>
      <c r="D310" s="27"/>
      <c r="E310" s="25"/>
      <c r="F310" s="26" t="str">
        <f>IF(E310='Tablas AR'!$B$4,1,IF('Análisis de Riesgos'!E310='Tablas AR'!$B$5,2,IF('Análisis de Riesgos'!E310='Tablas AR'!$B$6,3,"")))</f>
        <v/>
      </c>
      <c r="G310" s="25"/>
      <c r="H310" s="26" t="str">
        <f>IF(G310='Tablas AR'!$B$10,1,IF('Análisis de Riesgos'!G310='Tablas AR'!$B$11,2,IF('Análisis de Riesgos'!G310='Tablas AR'!$B$12,3,"")))</f>
        <v/>
      </c>
      <c r="I310" s="26" t="str">
        <f t="shared" si="4"/>
        <v/>
      </c>
    </row>
    <row r="311" spans="2:9" x14ac:dyDescent="0.25">
      <c r="B311" s="27" t="str">
        <f>IFERROR(INDEX(Activos!$B$3:$C$16, MATCH(C311,Activos!$B$3:$B$16),2),"")</f>
        <v/>
      </c>
      <c r="C311" s="27"/>
      <c r="D311" s="27"/>
      <c r="E311" s="25"/>
      <c r="F311" s="26" t="str">
        <f>IF(E311='Tablas AR'!$B$4,1,IF('Análisis de Riesgos'!E311='Tablas AR'!$B$5,2,IF('Análisis de Riesgos'!E311='Tablas AR'!$B$6,3,"")))</f>
        <v/>
      </c>
      <c r="G311" s="25"/>
      <c r="H311" s="26" t="str">
        <f>IF(G311='Tablas AR'!$B$10,1,IF('Análisis de Riesgos'!G311='Tablas AR'!$B$11,2,IF('Análisis de Riesgos'!G311='Tablas AR'!$B$12,3,"")))</f>
        <v/>
      </c>
      <c r="I311" s="26" t="str">
        <f t="shared" si="4"/>
        <v/>
      </c>
    </row>
    <row r="312" spans="2:9" x14ac:dyDescent="0.25">
      <c r="B312" s="27" t="str">
        <f>IFERROR(INDEX(Activos!$B$3:$C$16, MATCH(C312,Activos!$B$3:$B$16),2),"")</f>
        <v/>
      </c>
      <c r="C312" s="27"/>
      <c r="D312" s="27"/>
      <c r="E312" s="25"/>
      <c r="F312" s="26" t="str">
        <f>IF(E312='Tablas AR'!$B$4,1,IF('Análisis de Riesgos'!E312='Tablas AR'!$B$5,2,IF('Análisis de Riesgos'!E312='Tablas AR'!$B$6,3,"")))</f>
        <v/>
      </c>
      <c r="G312" s="25"/>
      <c r="H312" s="26" t="str">
        <f>IF(G312='Tablas AR'!$B$10,1,IF('Análisis de Riesgos'!G312='Tablas AR'!$B$11,2,IF('Análisis de Riesgos'!G312='Tablas AR'!$B$12,3,"")))</f>
        <v/>
      </c>
      <c r="I312" s="26" t="str">
        <f t="shared" si="4"/>
        <v/>
      </c>
    </row>
    <row r="313" spans="2:9" x14ac:dyDescent="0.25">
      <c r="B313" s="27" t="str">
        <f>IFERROR(INDEX(Activos!$B$3:$C$16, MATCH(C313,Activos!$B$3:$B$16),2),"")</f>
        <v/>
      </c>
      <c r="C313" s="27"/>
      <c r="D313" s="27"/>
      <c r="E313" s="25"/>
      <c r="F313" s="26" t="str">
        <f>IF(E313='Tablas AR'!$B$4,1,IF('Análisis de Riesgos'!E313='Tablas AR'!$B$5,2,IF('Análisis de Riesgos'!E313='Tablas AR'!$B$6,3,"")))</f>
        <v/>
      </c>
      <c r="G313" s="25"/>
      <c r="H313" s="26" t="str">
        <f>IF(G313='Tablas AR'!$B$10,1,IF('Análisis de Riesgos'!G313='Tablas AR'!$B$11,2,IF('Análisis de Riesgos'!G313='Tablas AR'!$B$12,3,"")))</f>
        <v/>
      </c>
      <c r="I313" s="26" t="str">
        <f t="shared" si="4"/>
        <v/>
      </c>
    </row>
    <row r="314" spans="2:9" x14ac:dyDescent="0.25">
      <c r="B314" s="27" t="str">
        <f>IFERROR(INDEX(Activos!$B$3:$C$16, MATCH(C314,Activos!$B$3:$B$16),2),"")</f>
        <v/>
      </c>
      <c r="C314" s="27"/>
      <c r="D314" s="27"/>
      <c r="E314" s="25"/>
      <c r="F314" s="26" t="str">
        <f>IF(E314='Tablas AR'!$B$4,1,IF('Análisis de Riesgos'!E314='Tablas AR'!$B$5,2,IF('Análisis de Riesgos'!E314='Tablas AR'!$B$6,3,"")))</f>
        <v/>
      </c>
      <c r="G314" s="25"/>
      <c r="H314" s="26" t="str">
        <f>IF(G314='Tablas AR'!$B$10,1,IF('Análisis de Riesgos'!G314='Tablas AR'!$B$11,2,IF('Análisis de Riesgos'!G314='Tablas AR'!$B$12,3,"")))</f>
        <v/>
      </c>
      <c r="I314" s="26" t="str">
        <f t="shared" si="4"/>
        <v/>
      </c>
    </row>
    <row r="315" spans="2:9" x14ac:dyDescent="0.25">
      <c r="B315" s="27" t="str">
        <f>IFERROR(INDEX(Activos!$B$3:$C$16, MATCH(C315,Activos!$B$3:$B$16),2),"")</f>
        <v/>
      </c>
      <c r="C315" s="27"/>
      <c r="D315" s="27"/>
      <c r="E315" s="25"/>
      <c r="F315" s="26" t="str">
        <f>IF(E315='Tablas AR'!$B$4,1,IF('Análisis de Riesgos'!E315='Tablas AR'!$B$5,2,IF('Análisis de Riesgos'!E315='Tablas AR'!$B$6,3,"")))</f>
        <v/>
      </c>
      <c r="G315" s="25"/>
      <c r="H315" s="26" t="str">
        <f>IF(G315='Tablas AR'!$B$10,1,IF('Análisis de Riesgos'!G315='Tablas AR'!$B$11,2,IF('Análisis de Riesgos'!G315='Tablas AR'!$B$12,3,"")))</f>
        <v/>
      </c>
      <c r="I315" s="26" t="str">
        <f t="shared" si="4"/>
        <v/>
      </c>
    </row>
    <row r="316" spans="2:9" x14ac:dyDescent="0.25">
      <c r="B316" s="27" t="str">
        <f>IFERROR(INDEX(Activos!$B$3:$C$16, MATCH(C316,Activos!$B$3:$B$16),2),"")</f>
        <v/>
      </c>
      <c r="C316" s="27"/>
      <c r="D316" s="27"/>
      <c r="E316" s="25"/>
      <c r="F316" s="26" t="str">
        <f>IF(E316='Tablas AR'!$B$4,1,IF('Análisis de Riesgos'!E316='Tablas AR'!$B$5,2,IF('Análisis de Riesgos'!E316='Tablas AR'!$B$6,3,"")))</f>
        <v/>
      </c>
      <c r="G316" s="25"/>
      <c r="H316" s="26" t="str">
        <f>IF(G316='Tablas AR'!$B$10,1,IF('Análisis de Riesgos'!G316='Tablas AR'!$B$11,2,IF('Análisis de Riesgos'!G316='Tablas AR'!$B$12,3,"")))</f>
        <v/>
      </c>
      <c r="I316" s="26" t="str">
        <f t="shared" si="4"/>
        <v/>
      </c>
    </row>
    <row r="317" spans="2:9" x14ac:dyDescent="0.25">
      <c r="B317" s="27" t="str">
        <f>IFERROR(INDEX(Activos!$B$3:$C$16, MATCH(C317,Activos!$B$3:$B$16),2),"")</f>
        <v/>
      </c>
      <c r="C317" s="27"/>
      <c r="D317" s="27"/>
      <c r="E317" s="25"/>
      <c r="F317" s="26" t="str">
        <f>IF(E317='Tablas AR'!$B$4,1,IF('Análisis de Riesgos'!E317='Tablas AR'!$B$5,2,IF('Análisis de Riesgos'!E317='Tablas AR'!$B$6,3,"")))</f>
        <v/>
      </c>
      <c r="G317" s="25"/>
      <c r="H317" s="26" t="str">
        <f>IF(G317='Tablas AR'!$B$10,1,IF('Análisis de Riesgos'!G317='Tablas AR'!$B$11,2,IF('Análisis de Riesgos'!G317='Tablas AR'!$B$12,3,"")))</f>
        <v/>
      </c>
      <c r="I317" s="26" t="str">
        <f t="shared" si="4"/>
        <v/>
      </c>
    </row>
    <row r="318" spans="2:9" x14ac:dyDescent="0.25">
      <c r="B318" s="27" t="str">
        <f>IFERROR(INDEX(Activos!$B$3:$C$16, MATCH(C318,Activos!$B$3:$B$16),2),"")</f>
        <v/>
      </c>
      <c r="C318" s="27"/>
      <c r="D318" s="27"/>
      <c r="E318" s="25"/>
      <c r="F318" s="26" t="str">
        <f>IF(E318='Tablas AR'!$B$4,1,IF('Análisis de Riesgos'!E318='Tablas AR'!$B$5,2,IF('Análisis de Riesgos'!E318='Tablas AR'!$B$6,3,"")))</f>
        <v/>
      </c>
      <c r="G318" s="25"/>
      <c r="H318" s="26" t="str">
        <f>IF(G318='Tablas AR'!$B$10,1,IF('Análisis de Riesgos'!G318='Tablas AR'!$B$11,2,IF('Análisis de Riesgos'!G318='Tablas AR'!$B$12,3,"")))</f>
        <v/>
      </c>
      <c r="I318" s="26" t="str">
        <f t="shared" si="4"/>
        <v/>
      </c>
    </row>
    <row r="319" spans="2:9" x14ac:dyDescent="0.25">
      <c r="B319" s="27" t="str">
        <f>IFERROR(INDEX(Activos!$B$3:$C$16, MATCH(C319,Activos!$B$3:$B$16),2),"")</f>
        <v/>
      </c>
      <c r="C319" s="27"/>
      <c r="D319" s="27"/>
      <c r="E319" s="25"/>
      <c r="F319" s="26" t="str">
        <f>IF(E319='Tablas AR'!$B$4,1,IF('Análisis de Riesgos'!E319='Tablas AR'!$B$5,2,IF('Análisis de Riesgos'!E319='Tablas AR'!$B$6,3,"")))</f>
        <v/>
      </c>
      <c r="G319" s="25"/>
      <c r="H319" s="26" t="str">
        <f>IF(G319='Tablas AR'!$B$10,1,IF('Análisis de Riesgos'!G319='Tablas AR'!$B$11,2,IF('Análisis de Riesgos'!G319='Tablas AR'!$B$12,3,"")))</f>
        <v/>
      </c>
      <c r="I319" s="26" t="str">
        <f t="shared" si="4"/>
        <v/>
      </c>
    </row>
    <row r="320" spans="2:9" x14ac:dyDescent="0.25">
      <c r="B320" s="27" t="str">
        <f>IFERROR(INDEX(Activos!$B$3:$C$16, MATCH(C320,Activos!$B$3:$B$16),2),"")</f>
        <v/>
      </c>
      <c r="C320" s="27"/>
      <c r="D320" s="27"/>
      <c r="E320" s="25"/>
      <c r="F320" s="26" t="str">
        <f>IF(E320='Tablas AR'!$B$4,1,IF('Análisis de Riesgos'!E320='Tablas AR'!$B$5,2,IF('Análisis de Riesgos'!E320='Tablas AR'!$B$6,3,"")))</f>
        <v/>
      </c>
      <c r="G320" s="25"/>
      <c r="H320" s="26" t="str">
        <f>IF(G320='Tablas AR'!$B$10,1,IF('Análisis de Riesgos'!G320='Tablas AR'!$B$11,2,IF('Análisis de Riesgos'!G320='Tablas AR'!$B$12,3,"")))</f>
        <v/>
      </c>
      <c r="I320" s="26" t="str">
        <f t="shared" si="4"/>
        <v/>
      </c>
    </row>
    <row r="321" spans="2:9" x14ac:dyDescent="0.25">
      <c r="B321" s="27" t="str">
        <f>IFERROR(INDEX(Activos!$B$3:$C$16, MATCH(C321,Activos!$B$3:$B$16),2),"")</f>
        <v/>
      </c>
      <c r="C321" s="27"/>
      <c r="D321" s="27"/>
      <c r="E321" s="25"/>
      <c r="F321" s="26" t="str">
        <f>IF(E321='Tablas AR'!$B$4,1,IF('Análisis de Riesgos'!E321='Tablas AR'!$B$5,2,IF('Análisis de Riesgos'!E321='Tablas AR'!$B$6,3,"")))</f>
        <v/>
      </c>
      <c r="G321" s="25"/>
      <c r="H321" s="26" t="str">
        <f>IF(G321='Tablas AR'!$B$10,1,IF('Análisis de Riesgos'!G321='Tablas AR'!$B$11,2,IF('Análisis de Riesgos'!G321='Tablas AR'!$B$12,3,"")))</f>
        <v/>
      </c>
      <c r="I321" s="26" t="str">
        <f t="shared" si="4"/>
        <v/>
      </c>
    </row>
    <row r="322" spans="2:9" x14ac:dyDescent="0.25">
      <c r="B322" s="27" t="str">
        <f>IFERROR(INDEX(Activos!$B$3:$C$16, MATCH(C322,Activos!$B$3:$B$16),2),"")</f>
        <v/>
      </c>
      <c r="C322" s="27"/>
      <c r="D322" s="27"/>
      <c r="E322" s="25"/>
      <c r="F322" s="26" t="str">
        <f>IF(E322='Tablas AR'!$B$4,1,IF('Análisis de Riesgos'!E322='Tablas AR'!$B$5,2,IF('Análisis de Riesgos'!E322='Tablas AR'!$B$6,3,"")))</f>
        <v/>
      </c>
      <c r="G322" s="25"/>
      <c r="H322" s="26" t="str">
        <f>IF(G322='Tablas AR'!$B$10,1,IF('Análisis de Riesgos'!G322='Tablas AR'!$B$11,2,IF('Análisis de Riesgos'!G322='Tablas AR'!$B$12,3,"")))</f>
        <v/>
      </c>
      <c r="I322" s="26" t="str">
        <f t="shared" si="4"/>
        <v/>
      </c>
    </row>
    <row r="323" spans="2:9" x14ac:dyDescent="0.25">
      <c r="B323" s="27" t="str">
        <f>IFERROR(INDEX(Activos!$B$3:$C$16, MATCH(C323,Activos!$B$3:$B$16),2),"")</f>
        <v/>
      </c>
      <c r="C323" s="27"/>
      <c r="D323" s="27"/>
      <c r="E323" s="25"/>
      <c r="F323" s="26" t="str">
        <f>IF(E323='Tablas AR'!$B$4,1,IF('Análisis de Riesgos'!E323='Tablas AR'!$B$5,2,IF('Análisis de Riesgos'!E323='Tablas AR'!$B$6,3,"")))</f>
        <v/>
      </c>
      <c r="G323" s="25"/>
      <c r="H323" s="26" t="str">
        <f>IF(G323='Tablas AR'!$B$10,1,IF('Análisis de Riesgos'!G323='Tablas AR'!$B$11,2,IF('Análisis de Riesgos'!G323='Tablas AR'!$B$12,3,"")))</f>
        <v/>
      </c>
      <c r="I323" s="26" t="str">
        <f t="shared" si="4"/>
        <v/>
      </c>
    </row>
    <row r="324" spans="2:9" x14ac:dyDescent="0.25">
      <c r="B324" s="27" t="str">
        <f>IFERROR(INDEX(Activos!$B$3:$C$16, MATCH(C324,Activos!$B$3:$B$16),2),"")</f>
        <v/>
      </c>
      <c r="C324" s="27"/>
      <c r="D324" s="27"/>
      <c r="E324" s="25"/>
      <c r="F324" s="26" t="str">
        <f>IF(E324='Tablas AR'!$B$4,1,IF('Análisis de Riesgos'!E324='Tablas AR'!$B$5,2,IF('Análisis de Riesgos'!E324='Tablas AR'!$B$6,3,"")))</f>
        <v/>
      </c>
      <c r="G324" s="25"/>
      <c r="H324" s="26" t="str">
        <f>IF(G324='Tablas AR'!$B$10,1,IF('Análisis de Riesgos'!G324='Tablas AR'!$B$11,2,IF('Análisis de Riesgos'!G324='Tablas AR'!$B$12,3,"")))</f>
        <v/>
      </c>
      <c r="I324" s="26" t="str">
        <f t="shared" ref="I324:I387" si="5" xml:space="preserve"> IFERROR(F324*H324,"")</f>
        <v/>
      </c>
    </row>
    <row r="325" spans="2:9" x14ac:dyDescent="0.25">
      <c r="B325" s="27" t="str">
        <f>IFERROR(INDEX(Activos!$B$3:$C$16, MATCH(C325,Activos!$B$3:$B$16),2),"")</f>
        <v/>
      </c>
      <c r="C325" s="27"/>
      <c r="D325" s="27"/>
      <c r="E325" s="25"/>
      <c r="F325" s="26" t="str">
        <f>IF(E325='Tablas AR'!$B$4,1,IF('Análisis de Riesgos'!E325='Tablas AR'!$B$5,2,IF('Análisis de Riesgos'!E325='Tablas AR'!$B$6,3,"")))</f>
        <v/>
      </c>
      <c r="G325" s="25"/>
      <c r="H325" s="26" t="str">
        <f>IF(G325='Tablas AR'!$B$10,1,IF('Análisis de Riesgos'!G325='Tablas AR'!$B$11,2,IF('Análisis de Riesgos'!G325='Tablas AR'!$B$12,3,"")))</f>
        <v/>
      </c>
      <c r="I325" s="26" t="str">
        <f t="shared" si="5"/>
        <v/>
      </c>
    </row>
    <row r="326" spans="2:9" x14ac:dyDescent="0.25">
      <c r="B326" s="27" t="str">
        <f>IFERROR(INDEX(Activos!$B$3:$C$16, MATCH(C326,Activos!$B$3:$B$16),2),"")</f>
        <v/>
      </c>
      <c r="C326" s="27"/>
      <c r="D326" s="27"/>
      <c r="E326" s="25"/>
      <c r="F326" s="26" t="str">
        <f>IF(E326='Tablas AR'!$B$4,1,IF('Análisis de Riesgos'!E326='Tablas AR'!$B$5,2,IF('Análisis de Riesgos'!E326='Tablas AR'!$B$6,3,"")))</f>
        <v/>
      </c>
      <c r="G326" s="25"/>
      <c r="H326" s="26" t="str">
        <f>IF(G326='Tablas AR'!$B$10,1,IF('Análisis de Riesgos'!G326='Tablas AR'!$B$11,2,IF('Análisis de Riesgos'!G326='Tablas AR'!$B$12,3,"")))</f>
        <v/>
      </c>
      <c r="I326" s="26" t="str">
        <f t="shared" si="5"/>
        <v/>
      </c>
    </row>
    <row r="327" spans="2:9" x14ac:dyDescent="0.25">
      <c r="B327" s="27" t="str">
        <f>IFERROR(INDEX(Activos!$B$3:$C$16, MATCH(C327,Activos!$B$3:$B$16),2),"")</f>
        <v/>
      </c>
      <c r="C327" s="27"/>
      <c r="D327" s="27"/>
      <c r="E327" s="25"/>
      <c r="F327" s="26" t="str">
        <f>IF(E327='Tablas AR'!$B$4,1,IF('Análisis de Riesgos'!E327='Tablas AR'!$B$5,2,IF('Análisis de Riesgos'!E327='Tablas AR'!$B$6,3,"")))</f>
        <v/>
      </c>
      <c r="G327" s="25"/>
      <c r="H327" s="26" t="str">
        <f>IF(G327='Tablas AR'!$B$10,1,IF('Análisis de Riesgos'!G327='Tablas AR'!$B$11,2,IF('Análisis de Riesgos'!G327='Tablas AR'!$B$12,3,"")))</f>
        <v/>
      </c>
      <c r="I327" s="26" t="str">
        <f t="shared" si="5"/>
        <v/>
      </c>
    </row>
    <row r="328" spans="2:9" x14ac:dyDescent="0.25">
      <c r="B328" s="27" t="str">
        <f>IFERROR(INDEX(Activos!$B$3:$C$16, MATCH(C328,Activos!$B$3:$B$16),2),"")</f>
        <v/>
      </c>
      <c r="C328" s="27"/>
      <c r="D328" s="27"/>
      <c r="E328" s="25"/>
      <c r="F328" s="26" t="str">
        <f>IF(E328='Tablas AR'!$B$4,1,IF('Análisis de Riesgos'!E328='Tablas AR'!$B$5,2,IF('Análisis de Riesgos'!E328='Tablas AR'!$B$6,3,"")))</f>
        <v/>
      </c>
      <c r="G328" s="25"/>
      <c r="H328" s="26" t="str">
        <f>IF(G328='Tablas AR'!$B$10,1,IF('Análisis de Riesgos'!G328='Tablas AR'!$B$11,2,IF('Análisis de Riesgos'!G328='Tablas AR'!$B$12,3,"")))</f>
        <v/>
      </c>
      <c r="I328" s="26" t="str">
        <f t="shared" si="5"/>
        <v/>
      </c>
    </row>
    <row r="329" spans="2:9" x14ac:dyDescent="0.25">
      <c r="B329" s="27" t="str">
        <f>IFERROR(INDEX(Activos!$B$3:$C$16, MATCH(C329,Activos!$B$3:$B$16),2),"")</f>
        <v/>
      </c>
      <c r="C329" s="27"/>
      <c r="D329" s="27"/>
      <c r="E329" s="25"/>
      <c r="F329" s="26" t="str">
        <f>IF(E329='Tablas AR'!$B$4,1,IF('Análisis de Riesgos'!E329='Tablas AR'!$B$5,2,IF('Análisis de Riesgos'!E329='Tablas AR'!$B$6,3,"")))</f>
        <v/>
      </c>
      <c r="G329" s="25"/>
      <c r="H329" s="26" t="str">
        <f>IF(G329='Tablas AR'!$B$10,1,IF('Análisis de Riesgos'!G329='Tablas AR'!$B$11,2,IF('Análisis de Riesgos'!G329='Tablas AR'!$B$12,3,"")))</f>
        <v/>
      </c>
      <c r="I329" s="26" t="str">
        <f t="shared" si="5"/>
        <v/>
      </c>
    </row>
    <row r="330" spans="2:9" x14ac:dyDescent="0.25">
      <c r="B330" s="27" t="str">
        <f>IFERROR(INDEX(Activos!$B$3:$C$16, MATCH(C330,Activos!$B$3:$B$16),2),"")</f>
        <v/>
      </c>
      <c r="C330" s="27"/>
      <c r="D330" s="27"/>
      <c r="E330" s="25"/>
      <c r="F330" s="26" t="str">
        <f>IF(E330='Tablas AR'!$B$4,1,IF('Análisis de Riesgos'!E330='Tablas AR'!$B$5,2,IF('Análisis de Riesgos'!E330='Tablas AR'!$B$6,3,"")))</f>
        <v/>
      </c>
      <c r="G330" s="25"/>
      <c r="H330" s="26" t="str">
        <f>IF(G330='Tablas AR'!$B$10,1,IF('Análisis de Riesgos'!G330='Tablas AR'!$B$11,2,IF('Análisis de Riesgos'!G330='Tablas AR'!$B$12,3,"")))</f>
        <v/>
      </c>
      <c r="I330" s="26" t="str">
        <f t="shared" si="5"/>
        <v/>
      </c>
    </row>
    <row r="331" spans="2:9" x14ac:dyDescent="0.25">
      <c r="B331" s="27" t="str">
        <f>IFERROR(INDEX(Activos!$B$3:$C$16, MATCH(C331,Activos!$B$3:$B$16),2),"")</f>
        <v/>
      </c>
      <c r="C331" s="27"/>
      <c r="D331" s="27"/>
      <c r="E331" s="25"/>
      <c r="F331" s="26" t="str">
        <f>IF(E331='Tablas AR'!$B$4,1,IF('Análisis de Riesgos'!E331='Tablas AR'!$B$5,2,IF('Análisis de Riesgos'!E331='Tablas AR'!$B$6,3,"")))</f>
        <v/>
      </c>
      <c r="G331" s="25"/>
      <c r="H331" s="26" t="str">
        <f>IF(G331='Tablas AR'!$B$10,1,IF('Análisis de Riesgos'!G331='Tablas AR'!$B$11,2,IF('Análisis de Riesgos'!G331='Tablas AR'!$B$12,3,"")))</f>
        <v/>
      </c>
      <c r="I331" s="26" t="str">
        <f t="shared" si="5"/>
        <v/>
      </c>
    </row>
    <row r="332" spans="2:9" x14ac:dyDescent="0.25">
      <c r="B332" s="27" t="str">
        <f>IFERROR(INDEX(Activos!$B$3:$C$16, MATCH(C332,Activos!$B$3:$B$16),2),"")</f>
        <v/>
      </c>
      <c r="C332" s="27"/>
      <c r="D332" s="27"/>
      <c r="E332" s="25"/>
      <c r="F332" s="26" t="str">
        <f>IF(E332='Tablas AR'!$B$4,1,IF('Análisis de Riesgos'!E332='Tablas AR'!$B$5,2,IF('Análisis de Riesgos'!E332='Tablas AR'!$B$6,3,"")))</f>
        <v/>
      </c>
      <c r="G332" s="25"/>
      <c r="H332" s="26" t="str">
        <f>IF(G332='Tablas AR'!$B$10,1,IF('Análisis de Riesgos'!G332='Tablas AR'!$B$11,2,IF('Análisis de Riesgos'!G332='Tablas AR'!$B$12,3,"")))</f>
        <v/>
      </c>
      <c r="I332" s="26" t="str">
        <f t="shared" si="5"/>
        <v/>
      </c>
    </row>
    <row r="333" spans="2:9" x14ac:dyDescent="0.25">
      <c r="B333" s="27" t="str">
        <f>IFERROR(INDEX(Activos!$B$3:$C$16, MATCH(C333,Activos!$B$3:$B$16),2),"")</f>
        <v/>
      </c>
      <c r="C333" s="27"/>
      <c r="D333" s="27"/>
      <c r="E333" s="25"/>
      <c r="F333" s="26" t="str">
        <f>IF(E333='Tablas AR'!$B$4,1,IF('Análisis de Riesgos'!E333='Tablas AR'!$B$5,2,IF('Análisis de Riesgos'!E333='Tablas AR'!$B$6,3,"")))</f>
        <v/>
      </c>
      <c r="G333" s="25"/>
      <c r="H333" s="26" t="str">
        <f>IF(G333='Tablas AR'!$B$10,1,IF('Análisis de Riesgos'!G333='Tablas AR'!$B$11,2,IF('Análisis de Riesgos'!G333='Tablas AR'!$B$12,3,"")))</f>
        <v/>
      </c>
      <c r="I333" s="26" t="str">
        <f t="shared" si="5"/>
        <v/>
      </c>
    </row>
    <row r="334" spans="2:9" x14ac:dyDescent="0.25">
      <c r="B334" s="27" t="str">
        <f>IFERROR(INDEX(Activos!$B$3:$C$16, MATCH(C334,Activos!$B$3:$B$16),2),"")</f>
        <v/>
      </c>
      <c r="C334" s="27"/>
      <c r="D334" s="27"/>
      <c r="E334" s="25"/>
      <c r="F334" s="26" t="str">
        <f>IF(E334='Tablas AR'!$B$4,1,IF('Análisis de Riesgos'!E334='Tablas AR'!$B$5,2,IF('Análisis de Riesgos'!E334='Tablas AR'!$B$6,3,"")))</f>
        <v/>
      </c>
      <c r="G334" s="25"/>
      <c r="H334" s="26" t="str">
        <f>IF(G334='Tablas AR'!$B$10,1,IF('Análisis de Riesgos'!G334='Tablas AR'!$B$11,2,IF('Análisis de Riesgos'!G334='Tablas AR'!$B$12,3,"")))</f>
        <v/>
      </c>
      <c r="I334" s="26" t="str">
        <f t="shared" si="5"/>
        <v/>
      </c>
    </row>
    <row r="335" spans="2:9" x14ac:dyDescent="0.25">
      <c r="B335" s="27" t="str">
        <f>IFERROR(INDEX(Activos!$B$3:$C$16, MATCH(C335,Activos!$B$3:$B$16),2),"")</f>
        <v/>
      </c>
      <c r="C335" s="27"/>
      <c r="D335" s="27"/>
      <c r="E335" s="25"/>
      <c r="F335" s="26" t="str">
        <f>IF(E335='Tablas AR'!$B$4,1,IF('Análisis de Riesgos'!E335='Tablas AR'!$B$5,2,IF('Análisis de Riesgos'!E335='Tablas AR'!$B$6,3,"")))</f>
        <v/>
      </c>
      <c r="G335" s="25"/>
      <c r="H335" s="26" t="str">
        <f>IF(G335='Tablas AR'!$B$10,1,IF('Análisis de Riesgos'!G335='Tablas AR'!$B$11,2,IF('Análisis de Riesgos'!G335='Tablas AR'!$B$12,3,"")))</f>
        <v/>
      </c>
      <c r="I335" s="26" t="str">
        <f t="shared" si="5"/>
        <v/>
      </c>
    </row>
    <row r="336" spans="2:9" x14ac:dyDescent="0.25">
      <c r="B336" s="27" t="str">
        <f>IFERROR(INDEX(Activos!$B$3:$C$16, MATCH(C336,Activos!$B$3:$B$16),2),"")</f>
        <v/>
      </c>
      <c r="C336" s="27"/>
      <c r="D336" s="27"/>
      <c r="E336" s="25"/>
      <c r="F336" s="26" t="str">
        <f>IF(E336='Tablas AR'!$B$4,1,IF('Análisis de Riesgos'!E336='Tablas AR'!$B$5,2,IF('Análisis de Riesgos'!E336='Tablas AR'!$B$6,3,"")))</f>
        <v/>
      </c>
      <c r="G336" s="25"/>
      <c r="H336" s="26" t="str">
        <f>IF(G336='Tablas AR'!$B$10,1,IF('Análisis de Riesgos'!G336='Tablas AR'!$B$11,2,IF('Análisis de Riesgos'!G336='Tablas AR'!$B$12,3,"")))</f>
        <v/>
      </c>
      <c r="I336" s="26" t="str">
        <f t="shared" si="5"/>
        <v/>
      </c>
    </row>
    <row r="337" spans="2:9" x14ac:dyDescent="0.25">
      <c r="B337" s="27" t="str">
        <f>IFERROR(INDEX(Activos!$B$3:$C$16, MATCH(C337,Activos!$B$3:$B$16),2),"")</f>
        <v/>
      </c>
      <c r="C337" s="27"/>
      <c r="D337" s="27"/>
      <c r="E337" s="25"/>
      <c r="F337" s="26" t="str">
        <f>IF(E337='Tablas AR'!$B$4,1,IF('Análisis de Riesgos'!E337='Tablas AR'!$B$5,2,IF('Análisis de Riesgos'!E337='Tablas AR'!$B$6,3,"")))</f>
        <v/>
      </c>
      <c r="G337" s="25"/>
      <c r="H337" s="26" t="str">
        <f>IF(G337='Tablas AR'!$B$10,1,IF('Análisis de Riesgos'!G337='Tablas AR'!$B$11,2,IF('Análisis de Riesgos'!G337='Tablas AR'!$B$12,3,"")))</f>
        <v/>
      </c>
      <c r="I337" s="26" t="str">
        <f t="shared" si="5"/>
        <v/>
      </c>
    </row>
    <row r="338" spans="2:9" x14ac:dyDescent="0.25">
      <c r="B338" s="27" t="str">
        <f>IFERROR(INDEX(Activos!$B$3:$C$16, MATCH(C338,Activos!$B$3:$B$16),2),"")</f>
        <v/>
      </c>
      <c r="C338" s="27"/>
      <c r="D338" s="27"/>
      <c r="E338" s="25"/>
      <c r="F338" s="26" t="str">
        <f>IF(E338='Tablas AR'!$B$4,1,IF('Análisis de Riesgos'!E338='Tablas AR'!$B$5,2,IF('Análisis de Riesgos'!E338='Tablas AR'!$B$6,3,"")))</f>
        <v/>
      </c>
      <c r="G338" s="25"/>
      <c r="H338" s="26" t="str">
        <f>IF(G338='Tablas AR'!$B$10,1,IF('Análisis de Riesgos'!G338='Tablas AR'!$B$11,2,IF('Análisis de Riesgos'!G338='Tablas AR'!$B$12,3,"")))</f>
        <v/>
      </c>
      <c r="I338" s="26" t="str">
        <f t="shared" si="5"/>
        <v/>
      </c>
    </row>
    <row r="339" spans="2:9" x14ac:dyDescent="0.25">
      <c r="B339" s="27" t="str">
        <f>IFERROR(INDEX(Activos!$B$3:$C$16, MATCH(C339,Activos!$B$3:$B$16),2),"")</f>
        <v/>
      </c>
      <c r="C339" s="27"/>
      <c r="D339" s="27"/>
      <c r="E339" s="25"/>
      <c r="F339" s="26" t="str">
        <f>IF(E339='Tablas AR'!$B$4,1,IF('Análisis de Riesgos'!E339='Tablas AR'!$B$5,2,IF('Análisis de Riesgos'!E339='Tablas AR'!$B$6,3,"")))</f>
        <v/>
      </c>
      <c r="G339" s="25"/>
      <c r="H339" s="26" t="str">
        <f>IF(G339='Tablas AR'!$B$10,1,IF('Análisis de Riesgos'!G339='Tablas AR'!$B$11,2,IF('Análisis de Riesgos'!G339='Tablas AR'!$B$12,3,"")))</f>
        <v/>
      </c>
      <c r="I339" s="26" t="str">
        <f t="shared" si="5"/>
        <v/>
      </c>
    </row>
    <row r="340" spans="2:9" x14ac:dyDescent="0.25">
      <c r="B340" s="27" t="str">
        <f>IFERROR(INDEX(Activos!$B$3:$C$16, MATCH(C340,Activos!$B$3:$B$16),2),"")</f>
        <v/>
      </c>
      <c r="C340" s="27"/>
      <c r="D340" s="27"/>
      <c r="E340" s="25"/>
      <c r="F340" s="26" t="str">
        <f>IF(E340='Tablas AR'!$B$4,1,IF('Análisis de Riesgos'!E340='Tablas AR'!$B$5,2,IF('Análisis de Riesgos'!E340='Tablas AR'!$B$6,3,"")))</f>
        <v/>
      </c>
      <c r="G340" s="25"/>
      <c r="H340" s="26" t="str">
        <f>IF(G340='Tablas AR'!$B$10,1,IF('Análisis de Riesgos'!G340='Tablas AR'!$B$11,2,IF('Análisis de Riesgos'!G340='Tablas AR'!$B$12,3,"")))</f>
        <v/>
      </c>
      <c r="I340" s="26" t="str">
        <f t="shared" si="5"/>
        <v/>
      </c>
    </row>
    <row r="341" spans="2:9" x14ac:dyDescent="0.25">
      <c r="B341" s="27" t="str">
        <f>IFERROR(INDEX(Activos!$B$3:$C$16, MATCH(C341,Activos!$B$3:$B$16),2),"")</f>
        <v/>
      </c>
      <c r="C341" s="27"/>
      <c r="D341" s="27"/>
      <c r="E341" s="25"/>
      <c r="F341" s="26" t="str">
        <f>IF(E341='Tablas AR'!$B$4,1,IF('Análisis de Riesgos'!E341='Tablas AR'!$B$5,2,IF('Análisis de Riesgos'!E341='Tablas AR'!$B$6,3,"")))</f>
        <v/>
      </c>
      <c r="G341" s="25"/>
      <c r="H341" s="26" t="str">
        <f>IF(G341='Tablas AR'!$B$10,1,IF('Análisis de Riesgos'!G341='Tablas AR'!$B$11,2,IF('Análisis de Riesgos'!G341='Tablas AR'!$B$12,3,"")))</f>
        <v/>
      </c>
      <c r="I341" s="26" t="str">
        <f t="shared" si="5"/>
        <v/>
      </c>
    </row>
    <row r="342" spans="2:9" x14ac:dyDescent="0.25">
      <c r="B342" s="27" t="str">
        <f>IFERROR(INDEX(Activos!$B$3:$C$16, MATCH(C342,Activos!$B$3:$B$16),2),"")</f>
        <v/>
      </c>
      <c r="C342" s="27"/>
      <c r="D342" s="27"/>
      <c r="E342" s="25"/>
      <c r="F342" s="26" t="str">
        <f>IF(E342='Tablas AR'!$B$4,1,IF('Análisis de Riesgos'!E342='Tablas AR'!$B$5,2,IF('Análisis de Riesgos'!E342='Tablas AR'!$B$6,3,"")))</f>
        <v/>
      </c>
      <c r="G342" s="25"/>
      <c r="H342" s="26" t="str">
        <f>IF(G342='Tablas AR'!$B$10,1,IF('Análisis de Riesgos'!G342='Tablas AR'!$B$11,2,IF('Análisis de Riesgos'!G342='Tablas AR'!$B$12,3,"")))</f>
        <v/>
      </c>
      <c r="I342" s="26" t="str">
        <f t="shared" si="5"/>
        <v/>
      </c>
    </row>
    <row r="343" spans="2:9" x14ac:dyDescent="0.25">
      <c r="B343" s="27" t="str">
        <f>IFERROR(INDEX(Activos!$B$3:$C$16, MATCH(C343,Activos!$B$3:$B$16),2),"")</f>
        <v/>
      </c>
      <c r="C343" s="27"/>
      <c r="D343" s="27"/>
      <c r="E343" s="25"/>
      <c r="F343" s="26" t="str">
        <f>IF(E343='Tablas AR'!$B$4,1,IF('Análisis de Riesgos'!E343='Tablas AR'!$B$5,2,IF('Análisis de Riesgos'!E343='Tablas AR'!$B$6,3,"")))</f>
        <v/>
      </c>
      <c r="G343" s="25"/>
      <c r="H343" s="26" t="str">
        <f>IF(G343='Tablas AR'!$B$10,1,IF('Análisis de Riesgos'!G343='Tablas AR'!$B$11,2,IF('Análisis de Riesgos'!G343='Tablas AR'!$B$12,3,"")))</f>
        <v/>
      </c>
      <c r="I343" s="26" t="str">
        <f t="shared" si="5"/>
        <v/>
      </c>
    </row>
    <row r="344" spans="2:9" x14ac:dyDescent="0.25">
      <c r="B344" s="27" t="str">
        <f>IFERROR(INDEX(Activos!$B$3:$C$16, MATCH(C344,Activos!$B$3:$B$16),2),"")</f>
        <v/>
      </c>
      <c r="C344" s="27"/>
      <c r="D344" s="27"/>
      <c r="E344" s="25"/>
      <c r="F344" s="26" t="str">
        <f>IF(E344='Tablas AR'!$B$4,1,IF('Análisis de Riesgos'!E344='Tablas AR'!$B$5,2,IF('Análisis de Riesgos'!E344='Tablas AR'!$B$6,3,"")))</f>
        <v/>
      </c>
      <c r="G344" s="25"/>
      <c r="H344" s="26" t="str">
        <f>IF(G344='Tablas AR'!$B$10,1,IF('Análisis de Riesgos'!G344='Tablas AR'!$B$11,2,IF('Análisis de Riesgos'!G344='Tablas AR'!$B$12,3,"")))</f>
        <v/>
      </c>
      <c r="I344" s="26" t="str">
        <f t="shared" si="5"/>
        <v/>
      </c>
    </row>
    <row r="345" spans="2:9" x14ac:dyDescent="0.25">
      <c r="B345" s="27" t="str">
        <f>IFERROR(INDEX(Activos!$B$3:$C$16, MATCH(C345,Activos!$B$3:$B$16),2),"")</f>
        <v/>
      </c>
      <c r="C345" s="27"/>
      <c r="D345" s="27"/>
      <c r="E345" s="25"/>
      <c r="F345" s="26" t="str">
        <f>IF(E345='Tablas AR'!$B$4,1,IF('Análisis de Riesgos'!E345='Tablas AR'!$B$5,2,IF('Análisis de Riesgos'!E345='Tablas AR'!$B$6,3,"")))</f>
        <v/>
      </c>
      <c r="G345" s="25"/>
      <c r="H345" s="26" t="str">
        <f>IF(G345='Tablas AR'!$B$10,1,IF('Análisis de Riesgos'!G345='Tablas AR'!$B$11,2,IF('Análisis de Riesgos'!G345='Tablas AR'!$B$12,3,"")))</f>
        <v/>
      </c>
      <c r="I345" s="26" t="str">
        <f t="shared" si="5"/>
        <v/>
      </c>
    </row>
    <row r="346" spans="2:9" x14ac:dyDescent="0.25">
      <c r="B346" s="27" t="str">
        <f>IFERROR(INDEX(Activos!$B$3:$C$16, MATCH(C346,Activos!$B$3:$B$16),2),"")</f>
        <v/>
      </c>
      <c r="C346" s="27"/>
      <c r="D346" s="27"/>
      <c r="E346" s="25"/>
      <c r="F346" s="26" t="str">
        <f>IF(E346='Tablas AR'!$B$4,1,IF('Análisis de Riesgos'!E346='Tablas AR'!$B$5,2,IF('Análisis de Riesgos'!E346='Tablas AR'!$B$6,3,"")))</f>
        <v/>
      </c>
      <c r="G346" s="25"/>
      <c r="H346" s="26" t="str">
        <f>IF(G346='Tablas AR'!$B$10,1,IF('Análisis de Riesgos'!G346='Tablas AR'!$B$11,2,IF('Análisis de Riesgos'!G346='Tablas AR'!$B$12,3,"")))</f>
        <v/>
      </c>
      <c r="I346" s="26" t="str">
        <f t="shared" si="5"/>
        <v/>
      </c>
    </row>
    <row r="347" spans="2:9" x14ac:dyDescent="0.25">
      <c r="B347" s="27" t="str">
        <f>IFERROR(INDEX(Activos!$B$3:$C$16, MATCH(C347,Activos!$B$3:$B$16),2),"")</f>
        <v/>
      </c>
      <c r="C347" s="27"/>
      <c r="D347" s="27"/>
      <c r="E347" s="25"/>
      <c r="F347" s="26" t="str">
        <f>IF(E347='Tablas AR'!$B$4,1,IF('Análisis de Riesgos'!E347='Tablas AR'!$B$5,2,IF('Análisis de Riesgos'!E347='Tablas AR'!$B$6,3,"")))</f>
        <v/>
      </c>
      <c r="G347" s="25"/>
      <c r="H347" s="26" t="str">
        <f>IF(G347='Tablas AR'!$B$10,1,IF('Análisis de Riesgos'!G347='Tablas AR'!$B$11,2,IF('Análisis de Riesgos'!G347='Tablas AR'!$B$12,3,"")))</f>
        <v/>
      </c>
      <c r="I347" s="26" t="str">
        <f t="shared" si="5"/>
        <v/>
      </c>
    </row>
    <row r="348" spans="2:9" x14ac:dyDescent="0.25">
      <c r="B348" s="27" t="str">
        <f>IFERROR(INDEX(Activos!$B$3:$C$16, MATCH(C348,Activos!$B$3:$B$16),2),"")</f>
        <v/>
      </c>
      <c r="C348" s="27"/>
      <c r="D348" s="27"/>
      <c r="E348" s="25"/>
      <c r="F348" s="26" t="str">
        <f>IF(E348='Tablas AR'!$B$4,1,IF('Análisis de Riesgos'!E348='Tablas AR'!$B$5,2,IF('Análisis de Riesgos'!E348='Tablas AR'!$B$6,3,"")))</f>
        <v/>
      </c>
      <c r="G348" s="25"/>
      <c r="H348" s="26" t="str">
        <f>IF(G348='Tablas AR'!$B$10,1,IF('Análisis de Riesgos'!G348='Tablas AR'!$B$11,2,IF('Análisis de Riesgos'!G348='Tablas AR'!$B$12,3,"")))</f>
        <v/>
      </c>
      <c r="I348" s="26" t="str">
        <f t="shared" si="5"/>
        <v/>
      </c>
    </row>
    <row r="349" spans="2:9" x14ac:dyDescent="0.25">
      <c r="B349" s="27" t="str">
        <f>IFERROR(INDEX(Activos!$B$3:$C$16, MATCH(C349,Activos!$B$3:$B$16),2),"")</f>
        <v/>
      </c>
      <c r="C349" s="27"/>
      <c r="D349" s="27"/>
      <c r="E349" s="25"/>
      <c r="F349" s="26" t="str">
        <f>IF(E349='Tablas AR'!$B$4,1,IF('Análisis de Riesgos'!E349='Tablas AR'!$B$5,2,IF('Análisis de Riesgos'!E349='Tablas AR'!$B$6,3,"")))</f>
        <v/>
      </c>
      <c r="G349" s="25"/>
      <c r="H349" s="26" t="str">
        <f>IF(G349='Tablas AR'!$B$10,1,IF('Análisis de Riesgos'!G349='Tablas AR'!$B$11,2,IF('Análisis de Riesgos'!G349='Tablas AR'!$B$12,3,"")))</f>
        <v/>
      </c>
      <c r="I349" s="26" t="str">
        <f t="shared" si="5"/>
        <v/>
      </c>
    </row>
    <row r="350" spans="2:9" x14ac:dyDescent="0.25">
      <c r="B350" s="27" t="str">
        <f>IFERROR(INDEX(Activos!$B$3:$C$16, MATCH(C350,Activos!$B$3:$B$16),2),"")</f>
        <v/>
      </c>
      <c r="C350" s="27"/>
      <c r="D350" s="27"/>
      <c r="E350" s="25"/>
      <c r="F350" s="26" t="str">
        <f>IF(E350='Tablas AR'!$B$4,1,IF('Análisis de Riesgos'!E350='Tablas AR'!$B$5,2,IF('Análisis de Riesgos'!E350='Tablas AR'!$B$6,3,"")))</f>
        <v/>
      </c>
      <c r="G350" s="25"/>
      <c r="H350" s="26" t="str">
        <f>IF(G350='Tablas AR'!$B$10,1,IF('Análisis de Riesgos'!G350='Tablas AR'!$B$11,2,IF('Análisis de Riesgos'!G350='Tablas AR'!$B$12,3,"")))</f>
        <v/>
      </c>
      <c r="I350" s="26" t="str">
        <f t="shared" si="5"/>
        <v/>
      </c>
    </row>
    <row r="351" spans="2:9" x14ac:dyDescent="0.25">
      <c r="B351" s="27" t="str">
        <f>IFERROR(INDEX(Activos!$B$3:$C$16, MATCH(C351,Activos!$B$3:$B$16),2),"")</f>
        <v/>
      </c>
      <c r="C351" s="27"/>
      <c r="D351" s="27"/>
      <c r="E351" s="25"/>
      <c r="F351" s="26" t="str">
        <f>IF(E351='Tablas AR'!$B$4,1,IF('Análisis de Riesgos'!E351='Tablas AR'!$B$5,2,IF('Análisis de Riesgos'!E351='Tablas AR'!$B$6,3,"")))</f>
        <v/>
      </c>
      <c r="G351" s="25"/>
      <c r="H351" s="26" t="str">
        <f>IF(G351='Tablas AR'!$B$10,1,IF('Análisis de Riesgos'!G351='Tablas AR'!$B$11,2,IF('Análisis de Riesgos'!G351='Tablas AR'!$B$12,3,"")))</f>
        <v/>
      </c>
      <c r="I351" s="26" t="str">
        <f t="shared" si="5"/>
        <v/>
      </c>
    </row>
    <row r="352" spans="2:9" x14ac:dyDescent="0.25">
      <c r="B352" s="27" t="str">
        <f>IFERROR(INDEX(Activos!$B$3:$C$16, MATCH(C352,Activos!$B$3:$B$16),2),"")</f>
        <v/>
      </c>
      <c r="C352" s="27"/>
      <c r="D352" s="27"/>
      <c r="E352" s="25"/>
      <c r="F352" s="26" t="str">
        <f>IF(E352='Tablas AR'!$B$4,1,IF('Análisis de Riesgos'!E352='Tablas AR'!$B$5,2,IF('Análisis de Riesgos'!E352='Tablas AR'!$B$6,3,"")))</f>
        <v/>
      </c>
      <c r="G352" s="25"/>
      <c r="H352" s="26" t="str">
        <f>IF(G352='Tablas AR'!$B$10,1,IF('Análisis de Riesgos'!G352='Tablas AR'!$B$11,2,IF('Análisis de Riesgos'!G352='Tablas AR'!$B$12,3,"")))</f>
        <v/>
      </c>
      <c r="I352" s="26" t="str">
        <f t="shared" si="5"/>
        <v/>
      </c>
    </row>
    <row r="353" spans="2:9" x14ac:dyDescent="0.25">
      <c r="B353" s="27" t="str">
        <f>IFERROR(INDEX(Activos!$B$3:$C$16, MATCH(C353,Activos!$B$3:$B$16),2),"")</f>
        <v/>
      </c>
      <c r="C353" s="27"/>
      <c r="D353" s="27"/>
      <c r="E353" s="25"/>
      <c r="F353" s="26" t="str">
        <f>IF(E353='Tablas AR'!$B$4,1,IF('Análisis de Riesgos'!E353='Tablas AR'!$B$5,2,IF('Análisis de Riesgos'!E353='Tablas AR'!$B$6,3,"")))</f>
        <v/>
      </c>
      <c r="G353" s="25"/>
      <c r="H353" s="26" t="str">
        <f>IF(G353='Tablas AR'!$B$10,1,IF('Análisis de Riesgos'!G353='Tablas AR'!$B$11,2,IF('Análisis de Riesgos'!G353='Tablas AR'!$B$12,3,"")))</f>
        <v/>
      </c>
      <c r="I353" s="26" t="str">
        <f t="shared" si="5"/>
        <v/>
      </c>
    </row>
    <row r="354" spans="2:9" x14ac:dyDescent="0.25">
      <c r="B354" s="27" t="str">
        <f>IFERROR(INDEX(Activos!$B$3:$C$16, MATCH(C354,Activos!$B$3:$B$16),2),"")</f>
        <v/>
      </c>
      <c r="C354" s="27"/>
      <c r="D354" s="27"/>
      <c r="E354" s="25"/>
      <c r="F354" s="26" t="str">
        <f>IF(E354='Tablas AR'!$B$4,1,IF('Análisis de Riesgos'!E354='Tablas AR'!$B$5,2,IF('Análisis de Riesgos'!E354='Tablas AR'!$B$6,3,"")))</f>
        <v/>
      </c>
      <c r="G354" s="25"/>
      <c r="H354" s="26" t="str">
        <f>IF(G354='Tablas AR'!$B$10,1,IF('Análisis de Riesgos'!G354='Tablas AR'!$B$11,2,IF('Análisis de Riesgos'!G354='Tablas AR'!$B$12,3,"")))</f>
        <v/>
      </c>
      <c r="I354" s="26" t="str">
        <f t="shared" si="5"/>
        <v/>
      </c>
    </row>
    <row r="355" spans="2:9" x14ac:dyDescent="0.25">
      <c r="B355" s="27" t="str">
        <f>IFERROR(INDEX(Activos!$B$3:$C$16, MATCH(C355,Activos!$B$3:$B$16),2),"")</f>
        <v/>
      </c>
      <c r="C355" s="27"/>
      <c r="D355" s="27"/>
      <c r="E355" s="25"/>
      <c r="F355" s="26" t="str">
        <f>IF(E355='Tablas AR'!$B$4,1,IF('Análisis de Riesgos'!E355='Tablas AR'!$B$5,2,IF('Análisis de Riesgos'!E355='Tablas AR'!$B$6,3,"")))</f>
        <v/>
      </c>
      <c r="G355" s="25"/>
      <c r="H355" s="26" t="str">
        <f>IF(G355='Tablas AR'!$B$10,1,IF('Análisis de Riesgos'!G355='Tablas AR'!$B$11,2,IF('Análisis de Riesgos'!G355='Tablas AR'!$B$12,3,"")))</f>
        <v/>
      </c>
      <c r="I355" s="26" t="str">
        <f t="shared" si="5"/>
        <v/>
      </c>
    </row>
    <row r="356" spans="2:9" x14ac:dyDescent="0.25">
      <c r="B356" s="27" t="str">
        <f>IFERROR(INDEX(Activos!$B$3:$C$16, MATCH(C356,Activos!$B$3:$B$16),2),"")</f>
        <v/>
      </c>
      <c r="C356" s="27"/>
      <c r="D356" s="27"/>
      <c r="E356" s="25"/>
      <c r="F356" s="26" t="str">
        <f>IF(E356='Tablas AR'!$B$4,1,IF('Análisis de Riesgos'!E356='Tablas AR'!$B$5,2,IF('Análisis de Riesgos'!E356='Tablas AR'!$B$6,3,"")))</f>
        <v/>
      </c>
      <c r="G356" s="25"/>
      <c r="H356" s="26" t="str">
        <f>IF(G356='Tablas AR'!$B$10,1,IF('Análisis de Riesgos'!G356='Tablas AR'!$B$11,2,IF('Análisis de Riesgos'!G356='Tablas AR'!$B$12,3,"")))</f>
        <v/>
      </c>
      <c r="I356" s="26" t="str">
        <f t="shared" si="5"/>
        <v/>
      </c>
    </row>
    <row r="357" spans="2:9" x14ac:dyDescent="0.25">
      <c r="B357" s="27" t="str">
        <f>IFERROR(INDEX(Activos!$B$3:$C$16, MATCH(C357,Activos!$B$3:$B$16),2),"")</f>
        <v/>
      </c>
      <c r="C357" s="27"/>
      <c r="D357" s="27"/>
      <c r="E357" s="25"/>
      <c r="F357" s="26" t="str">
        <f>IF(E357='Tablas AR'!$B$4,1,IF('Análisis de Riesgos'!E357='Tablas AR'!$B$5,2,IF('Análisis de Riesgos'!E357='Tablas AR'!$B$6,3,"")))</f>
        <v/>
      </c>
      <c r="G357" s="25"/>
      <c r="H357" s="26" t="str">
        <f>IF(G357='Tablas AR'!$B$10,1,IF('Análisis de Riesgos'!G357='Tablas AR'!$B$11,2,IF('Análisis de Riesgos'!G357='Tablas AR'!$B$12,3,"")))</f>
        <v/>
      </c>
      <c r="I357" s="26" t="str">
        <f t="shared" si="5"/>
        <v/>
      </c>
    </row>
    <row r="358" spans="2:9" x14ac:dyDescent="0.25">
      <c r="B358" s="27" t="str">
        <f>IFERROR(INDEX(Activos!$B$3:$C$16, MATCH(C358,Activos!$B$3:$B$16),2),"")</f>
        <v/>
      </c>
      <c r="C358" s="27"/>
      <c r="D358" s="27"/>
      <c r="E358" s="25"/>
      <c r="F358" s="26" t="str">
        <f>IF(E358='Tablas AR'!$B$4,1,IF('Análisis de Riesgos'!E358='Tablas AR'!$B$5,2,IF('Análisis de Riesgos'!E358='Tablas AR'!$B$6,3,"")))</f>
        <v/>
      </c>
      <c r="G358" s="25"/>
      <c r="H358" s="26" t="str">
        <f>IF(G358='Tablas AR'!$B$10,1,IF('Análisis de Riesgos'!G358='Tablas AR'!$B$11,2,IF('Análisis de Riesgos'!G358='Tablas AR'!$B$12,3,"")))</f>
        <v/>
      </c>
      <c r="I358" s="26" t="str">
        <f t="shared" si="5"/>
        <v/>
      </c>
    </row>
    <row r="359" spans="2:9" x14ac:dyDescent="0.25">
      <c r="B359" s="27" t="str">
        <f>IFERROR(INDEX(Activos!$B$3:$C$16, MATCH(C359,Activos!$B$3:$B$16),2),"")</f>
        <v/>
      </c>
      <c r="C359" s="27"/>
      <c r="D359" s="27"/>
      <c r="E359" s="25"/>
      <c r="F359" s="26" t="str">
        <f>IF(E359='Tablas AR'!$B$4,1,IF('Análisis de Riesgos'!E359='Tablas AR'!$B$5,2,IF('Análisis de Riesgos'!E359='Tablas AR'!$B$6,3,"")))</f>
        <v/>
      </c>
      <c r="G359" s="25"/>
      <c r="H359" s="26" t="str">
        <f>IF(G359='Tablas AR'!$B$10,1,IF('Análisis de Riesgos'!G359='Tablas AR'!$B$11,2,IF('Análisis de Riesgos'!G359='Tablas AR'!$B$12,3,"")))</f>
        <v/>
      </c>
      <c r="I359" s="26" t="str">
        <f t="shared" si="5"/>
        <v/>
      </c>
    </row>
    <row r="360" spans="2:9" x14ac:dyDescent="0.25">
      <c r="B360" s="27" t="str">
        <f>IFERROR(INDEX(Activos!$B$3:$C$16, MATCH(C360,Activos!$B$3:$B$16),2),"")</f>
        <v/>
      </c>
      <c r="C360" s="27"/>
      <c r="D360" s="27"/>
      <c r="E360" s="25"/>
      <c r="F360" s="26" t="str">
        <f>IF(E360='Tablas AR'!$B$4,1,IF('Análisis de Riesgos'!E360='Tablas AR'!$B$5,2,IF('Análisis de Riesgos'!E360='Tablas AR'!$B$6,3,"")))</f>
        <v/>
      </c>
      <c r="G360" s="25"/>
      <c r="H360" s="26" t="str">
        <f>IF(G360='Tablas AR'!$B$10,1,IF('Análisis de Riesgos'!G360='Tablas AR'!$B$11,2,IF('Análisis de Riesgos'!G360='Tablas AR'!$B$12,3,"")))</f>
        <v/>
      </c>
      <c r="I360" s="26" t="str">
        <f t="shared" si="5"/>
        <v/>
      </c>
    </row>
    <row r="361" spans="2:9" x14ac:dyDescent="0.25">
      <c r="B361" s="27" t="str">
        <f>IFERROR(INDEX(Activos!$B$3:$C$16, MATCH(C361,Activos!$B$3:$B$16),2),"")</f>
        <v/>
      </c>
      <c r="C361" s="27"/>
      <c r="D361" s="27"/>
      <c r="E361" s="25"/>
      <c r="F361" s="26" t="str">
        <f>IF(E361='Tablas AR'!$B$4,1,IF('Análisis de Riesgos'!E361='Tablas AR'!$B$5,2,IF('Análisis de Riesgos'!E361='Tablas AR'!$B$6,3,"")))</f>
        <v/>
      </c>
      <c r="G361" s="25"/>
      <c r="H361" s="26" t="str">
        <f>IF(G361='Tablas AR'!$B$10,1,IF('Análisis de Riesgos'!G361='Tablas AR'!$B$11,2,IF('Análisis de Riesgos'!G361='Tablas AR'!$B$12,3,"")))</f>
        <v/>
      </c>
      <c r="I361" s="26" t="str">
        <f t="shared" si="5"/>
        <v/>
      </c>
    </row>
    <row r="362" spans="2:9" x14ac:dyDescent="0.25">
      <c r="B362" s="27" t="str">
        <f>IFERROR(INDEX(Activos!$B$3:$C$16, MATCH(C362,Activos!$B$3:$B$16),2),"")</f>
        <v/>
      </c>
      <c r="C362" s="27"/>
      <c r="D362" s="27"/>
      <c r="E362" s="25"/>
      <c r="F362" s="26" t="str">
        <f>IF(E362='Tablas AR'!$B$4,1,IF('Análisis de Riesgos'!E362='Tablas AR'!$B$5,2,IF('Análisis de Riesgos'!E362='Tablas AR'!$B$6,3,"")))</f>
        <v/>
      </c>
      <c r="G362" s="25"/>
      <c r="H362" s="26" t="str">
        <f>IF(G362='Tablas AR'!$B$10,1,IF('Análisis de Riesgos'!G362='Tablas AR'!$B$11,2,IF('Análisis de Riesgos'!G362='Tablas AR'!$B$12,3,"")))</f>
        <v/>
      </c>
      <c r="I362" s="26" t="str">
        <f t="shared" si="5"/>
        <v/>
      </c>
    </row>
    <row r="363" spans="2:9" x14ac:dyDescent="0.25">
      <c r="B363" s="27" t="str">
        <f>IFERROR(INDEX(Activos!$B$3:$C$16, MATCH(C363,Activos!$B$3:$B$16),2),"")</f>
        <v/>
      </c>
      <c r="C363" s="27"/>
      <c r="D363" s="27"/>
      <c r="E363" s="25"/>
      <c r="F363" s="26" t="str">
        <f>IF(E363='Tablas AR'!$B$4,1,IF('Análisis de Riesgos'!E363='Tablas AR'!$B$5,2,IF('Análisis de Riesgos'!E363='Tablas AR'!$B$6,3,"")))</f>
        <v/>
      </c>
      <c r="G363" s="25"/>
      <c r="H363" s="26" t="str">
        <f>IF(G363='Tablas AR'!$B$10,1,IF('Análisis de Riesgos'!G363='Tablas AR'!$B$11,2,IF('Análisis de Riesgos'!G363='Tablas AR'!$B$12,3,"")))</f>
        <v/>
      </c>
      <c r="I363" s="26" t="str">
        <f t="shared" si="5"/>
        <v/>
      </c>
    </row>
    <row r="364" spans="2:9" x14ac:dyDescent="0.25">
      <c r="B364" s="27" t="str">
        <f>IFERROR(INDEX(Activos!$B$3:$C$16, MATCH(C364,Activos!$B$3:$B$16),2),"")</f>
        <v/>
      </c>
      <c r="C364" s="27"/>
      <c r="D364" s="27"/>
      <c r="E364" s="25"/>
      <c r="F364" s="26" t="str">
        <f>IF(E364='Tablas AR'!$B$4,1,IF('Análisis de Riesgos'!E364='Tablas AR'!$B$5,2,IF('Análisis de Riesgos'!E364='Tablas AR'!$B$6,3,"")))</f>
        <v/>
      </c>
      <c r="G364" s="25"/>
      <c r="H364" s="26" t="str">
        <f>IF(G364='Tablas AR'!$B$10,1,IF('Análisis de Riesgos'!G364='Tablas AR'!$B$11,2,IF('Análisis de Riesgos'!G364='Tablas AR'!$B$12,3,"")))</f>
        <v/>
      </c>
      <c r="I364" s="26" t="str">
        <f t="shared" si="5"/>
        <v/>
      </c>
    </row>
    <row r="365" spans="2:9" x14ac:dyDescent="0.25">
      <c r="B365" s="27" t="str">
        <f>IFERROR(INDEX(Activos!$B$3:$C$16, MATCH(C365,Activos!$B$3:$B$16),2),"")</f>
        <v/>
      </c>
      <c r="C365" s="27"/>
      <c r="D365" s="27"/>
      <c r="E365" s="25"/>
      <c r="F365" s="26" t="str">
        <f>IF(E365='Tablas AR'!$B$4,1,IF('Análisis de Riesgos'!E365='Tablas AR'!$B$5,2,IF('Análisis de Riesgos'!E365='Tablas AR'!$B$6,3,"")))</f>
        <v/>
      </c>
      <c r="G365" s="25"/>
      <c r="H365" s="26" t="str">
        <f>IF(G365='Tablas AR'!$B$10,1,IF('Análisis de Riesgos'!G365='Tablas AR'!$B$11,2,IF('Análisis de Riesgos'!G365='Tablas AR'!$B$12,3,"")))</f>
        <v/>
      </c>
      <c r="I365" s="26" t="str">
        <f t="shared" si="5"/>
        <v/>
      </c>
    </row>
    <row r="366" spans="2:9" x14ac:dyDescent="0.25">
      <c r="B366" s="27" t="str">
        <f>IFERROR(INDEX(Activos!$B$3:$C$16, MATCH(C366,Activos!$B$3:$B$16),2),"")</f>
        <v/>
      </c>
      <c r="C366" s="27"/>
      <c r="D366" s="27"/>
      <c r="E366" s="25"/>
      <c r="F366" s="26" t="str">
        <f>IF(E366='Tablas AR'!$B$4,1,IF('Análisis de Riesgos'!E366='Tablas AR'!$B$5,2,IF('Análisis de Riesgos'!E366='Tablas AR'!$B$6,3,"")))</f>
        <v/>
      </c>
      <c r="G366" s="25"/>
      <c r="H366" s="26" t="str">
        <f>IF(G366='Tablas AR'!$B$10,1,IF('Análisis de Riesgos'!G366='Tablas AR'!$B$11,2,IF('Análisis de Riesgos'!G366='Tablas AR'!$B$12,3,"")))</f>
        <v/>
      </c>
      <c r="I366" s="26" t="str">
        <f t="shared" si="5"/>
        <v/>
      </c>
    </row>
    <row r="367" spans="2:9" x14ac:dyDescent="0.25">
      <c r="B367" s="27" t="str">
        <f>IFERROR(INDEX(Activos!$B$3:$C$16, MATCH(C367,Activos!$B$3:$B$16),2),"")</f>
        <v/>
      </c>
      <c r="C367" s="27"/>
      <c r="D367" s="27"/>
      <c r="E367" s="25"/>
      <c r="F367" s="26" t="str">
        <f>IF(E367='Tablas AR'!$B$4,1,IF('Análisis de Riesgos'!E367='Tablas AR'!$B$5,2,IF('Análisis de Riesgos'!E367='Tablas AR'!$B$6,3,"")))</f>
        <v/>
      </c>
      <c r="G367" s="25"/>
      <c r="H367" s="26" t="str">
        <f>IF(G367='Tablas AR'!$B$10,1,IF('Análisis de Riesgos'!G367='Tablas AR'!$B$11,2,IF('Análisis de Riesgos'!G367='Tablas AR'!$B$12,3,"")))</f>
        <v/>
      </c>
      <c r="I367" s="26" t="str">
        <f t="shared" si="5"/>
        <v/>
      </c>
    </row>
    <row r="368" spans="2:9" x14ac:dyDescent="0.25">
      <c r="B368" s="27" t="str">
        <f>IFERROR(INDEX(Activos!$B$3:$C$16, MATCH(C368,Activos!$B$3:$B$16),2),"")</f>
        <v/>
      </c>
      <c r="C368" s="27"/>
      <c r="D368" s="27"/>
      <c r="E368" s="25"/>
      <c r="F368" s="26" t="str">
        <f>IF(E368='Tablas AR'!$B$4,1,IF('Análisis de Riesgos'!E368='Tablas AR'!$B$5,2,IF('Análisis de Riesgos'!E368='Tablas AR'!$B$6,3,"")))</f>
        <v/>
      </c>
      <c r="G368" s="25"/>
      <c r="H368" s="26" t="str">
        <f>IF(G368='Tablas AR'!$B$10,1,IF('Análisis de Riesgos'!G368='Tablas AR'!$B$11,2,IF('Análisis de Riesgos'!G368='Tablas AR'!$B$12,3,"")))</f>
        <v/>
      </c>
      <c r="I368" s="26" t="str">
        <f t="shared" si="5"/>
        <v/>
      </c>
    </row>
    <row r="369" spans="2:9" x14ac:dyDescent="0.25">
      <c r="B369" s="27" t="str">
        <f>IFERROR(INDEX(Activos!$B$3:$C$16, MATCH(C369,Activos!$B$3:$B$16),2),"")</f>
        <v/>
      </c>
      <c r="C369" s="27"/>
      <c r="D369" s="27"/>
      <c r="E369" s="25"/>
      <c r="F369" s="26" t="str">
        <f>IF(E369='Tablas AR'!$B$4,1,IF('Análisis de Riesgos'!E369='Tablas AR'!$B$5,2,IF('Análisis de Riesgos'!E369='Tablas AR'!$B$6,3,"")))</f>
        <v/>
      </c>
      <c r="G369" s="25"/>
      <c r="H369" s="26" t="str">
        <f>IF(G369='Tablas AR'!$B$10,1,IF('Análisis de Riesgos'!G369='Tablas AR'!$B$11,2,IF('Análisis de Riesgos'!G369='Tablas AR'!$B$12,3,"")))</f>
        <v/>
      </c>
      <c r="I369" s="26" t="str">
        <f t="shared" si="5"/>
        <v/>
      </c>
    </row>
    <row r="370" spans="2:9" x14ac:dyDescent="0.25">
      <c r="B370" s="27" t="str">
        <f>IFERROR(INDEX(Activos!$B$3:$C$16, MATCH(C370,Activos!$B$3:$B$16),2),"")</f>
        <v/>
      </c>
      <c r="C370" s="27"/>
      <c r="D370" s="27"/>
      <c r="E370" s="25"/>
      <c r="F370" s="26" t="str">
        <f>IF(E370='Tablas AR'!$B$4,1,IF('Análisis de Riesgos'!E370='Tablas AR'!$B$5,2,IF('Análisis de Riesgos'!E370='Tablas AR'!$B$6,3,"")))</f>
        <v/>
      </c>
      <c r="G370" s="25"/>
      <c r="H370" s="26" t="str">
        <f>IF(G370='Tablas AR'!$B$10,1,IF('Análisis de Riesgos'!G370='Tablas AR'!$B$11,2,IF('Análisis de Riesgos'!G370='Tablas AR'!$B$12,3,"")))</f>
        <v/>
      </c>
      <c r="I370" s="26" t="str">
        <f t="shared" si="5"/>
        <v/>
      </c>
    </row>
    <row r="371" spans="2:9" x14ac:dyDescent="0.25">
      <c r="B371" s="27" t="str">
        <f>IFERROR(INDEX(Activos!$B$3:$C$16, MATCH(C371,Activos!$B$3:$B$16),2),"")</f>
        <v/>
      </c>
      <c r="C371" s="27"/>
      <c r="D371" s="27"/>
      <c r="E371" s="25"/>
      <c r="F371" s="26" t="str">
        <f>IF(E371='Tablas AR'!$B$4,1,IF('Análisis de Riesgos'!E371='Tablas AR'!$B$5,2,IF('Análisis de Riesgos'!E371='Tablas AR'!$B$6,3,"")))</f>
        <v/>
      </c>
      <c r="G371" s="25"/>
      <c r="H371" s="26" t="str">
        <f>IF(G371='Tablas AR'!$B$10,1,IF('Análisis de Riesgos'!G371='Tablas AR'!$B$11,2,IF('Análisis de Riesgos'!G371='Tablas AR'!$B$12,3,"")))</f>
        <v/>
      </c>
      <c r="I371" s="26" t="str">
        <f t="shared" si="5"/>
        <v/>
      </c>
    </row>
    <row r="372" spans="2:9" x14ac:dyDescent="0.25">
      <c r="B372" s="27" t="str">
        <f>IFERROR(INDEX(Activos!$B$3:$C$16, MATCH(C372,Activos!$B$3:$B$16),2),"")</f>
        <v/>
      </c>
      <c r="C372" s="27"/>
      <c r="D372" s="27"/>
      <c r="E372" s="25"/>
      <c r="F372" s="26" t="str">
        <f>IF(E372='Tablas AR'!$B$4,1,IF('Análisis de Riesgos'!E372='Tablas AR'!$B$5,2,IF('Análisis de Riesgos'!E372='Tablas AR'!$B$6,3,"")))</f>
        <v/>
      </c>
      <c r="G372" s="25"/>
      <c r="H372" s="26" t="str">
        <f>IF(G372='Tablas AR'!$B$10,1,IF('Análisis de Riesgos'!G372='Tablas AR'!$B$11,2,IF('Análisis de Riesgos'!G372='Tablas AR'!$B$12,3,"")))</f>
        <v/>
      </c>
      <c r="I372" s="26" t="str">
        <f t="shared" si="5"/>
        <v/>
      </c>
    </row>
    <row r="373" spans="2:9" x14ac:dyDescent="0.25">
      <c r="B373" s="27" t="str">
        <f>IFERROR(INDEX(Activos!$B$3:$C$16, MATCH(C373,Activos!$B$3:$B$16),2),"")</f>
        <v/>
      </c>
      <c r="C373" s="27"/>
      <c r="D373" s="27"/>
      <c r="E373" s="25"/>
      <c r="F373" s="26" t="str">
        <f>IF(E373='Tablas AR'!$B$4,1,IF('Análisis de Riesgos'!E373='Tablas AR'!$B$5,2,IF('Análisis de Riesgos'!E373='Tablas AR'!$B$6,3,"")))</f>
        <v/>
      </c>
      <c r="G373" s="25"/>
      <c r="H373" s="26" t="str">
        <f>IF(G373='Tablas AR'!$B$10,1,IF('Análisis de Riesgos'!G373='Tablas AR'!$B$11,2,IF('Análisis de Riesgos'!G373='Tablas AR'!$B$12,3,"")))</f>
        <v/>
      </c>
      <c r="I373" s="26" t="str">
        <f t="shared" si="5"/>
        <v/>
      </c>
    </row>
    <row r="374" spans="2:9" x14ac:dyDescent="0.25">
      <c r="B374" s="27" t="str">
        <f>IFERROR(INDEX(Activos!$B$3:$C$16, MATCH(C374,Activos!$B$3:$B$16),2),"")</f>
        <v/>
      </c>
      <c r="C374" s="27"/>
      <c r="D374" s="27"/>
      <c r="E374" s="25"/>
      <c r="F374" s="26" t="str">
        <f>IF(E374='Tablas AR'!$B$4,1,IF('Análisis de Riesgos'!E374='Tablas AR'!$B$5,2,IF('Análisis de Riesgos'!E374='Tablas AR'!$B$6,3,"")))</f>
        <v/>
      </c>
      <c r="G374" s="25"/>
      <c r="H374" s="26" t="str">
        <f>IF(G374='Tablas AR'!$B$10,1,IF('Análisis de Riesgos'!G374='Tablas AR'!$B$11,2,IF('Análisis de Riesgos'!G374='Tablas AR'!$B$12,3,"")))</f>
        <v/>
      </c>
      <c r="I374" s="26" t="str">
        <f t="shared" si="5"/>
        <v/>
      </c>
    </row>
    <row r="375" spans="2:9" x14ac:dyDescent="0.25">
      <c r="B375" s="27" t="str">
        <f>IFERROR(INDEX(Activos!$B$3:$C$16, MATCH(C375,Activos!$B$3:$B$16),2),"")</f>
        <v/>
      </c>
      <c r="C375" s="27"/>
      <c r="D375" s="27"/>
      <c r="E375" s="25"/>
      <c r="F375" s="26" t="str">
        <f>IF(E375='Tablas AR'!$B$4,1,IF('Análisis de Riesgos'!E375='Tablas AR'!$B$5,2,IF('Análisis de Riesgos'!E375='Tablas AR'!$B$6,3,"")))</f>
        <v/>
      </c>
      <c r="G375" s="25"/>
      <c r="H375" s="26" t="str">
        <f>IF(G375='Tablas AR'!$B$10,1,IF('Análisis de Riesgos'!G375='Tablas AR'!$B$11,2,IF('Análisis de Riesgos'!G375='Tablas AR'!$B$12,3,"")))</f>
        <v/>
      </c>
      <c r="I375" s="26" t="str">
        <f t="shared" si="5"/>
        <v/>
      </c>
    </row>
    <row r="376" spans="2:9" x14ac:dyDescent="0.25">
      <c r="B376" s="27" t="str">
        <f>IFERROR(INDEX(Activos!$B$3:$C$16, MATCH(C376,Activos!$B$3:$B$16),2),"")</f>
        <v/>
      </c>
      <c r="C376" s="27"/>
      <c r="D376" s="27"/>
      <c r="E376" s="25"/>
      <c r="F376" s="26" t="str">
        <f>IF(E376='Tablas AR'!$B$4,1,IF('Análisis de Riesgos'!E376='Tablas AR'!$B$5,2,IF('Análisis de Riesgos'!E376='Tablas AR'!$B$6,3,"")))</f>
        <v/>
      </c>
      <c r="G376" s="25"/>
      <c r="H376" s="26" t="str">
        <f>IF(G376='Tablas AR'!$B$10,1,IF('Análisis de Riesgos'!G376='Tablas AR'!$B$11,2,IF('Análisis de Riesgos'!G376='Tablas AR'!$B$12,3,"")))</f>
        <v/>
      </c>
      <c r="I376" s="26" t="str">
        <f t="shared" si="5"/>
        <v/>
      </c>
    </row>
    <row r="377" spans="2:9" x14ac:dyDescent="0.25">
      <c r="B377" s="27" t="str">
        <f>IFERROR(INDEX(Activos!$B$3:$C$16, MATCH(C377,Activos!$B$3:$B$16),2),"")</f>
        <v/>
      </c>
      <c r="C377" s="27"/>
      <c r="D377" s="27"/>
      <c r="E377" s="25"/>
      <c r="F377" s="26" t="str">
        <f>IF(E377='Tablas AR'!$B$4,1,IF('Análisis de Riesgos'!E377='Tablas AR'!$B$5,2,IF('Análisis de Riesgos'!E377='Tablas AR'!$B$6,3,"")))</f>
        <v/>
      </c>
      <c r="G377" s="25"/>
      <c r="H377" s="26" t="str">
        <f>IF(G377='Tablas AR'!$B$10,1,IF('Análisis de Riesgos'!G377='Tablas AR'!$B$11,2,IF('Análisis de Riesgos'!G377='Tablas AR'!$B$12,3,"")))</f>
        <v/>
      </c>
      <c r="I377" s="26" t="str">
        <f t="shared" si="5"/>
        <v/>
      </c>
    </row>
    <row r="378" spans="2:9" x14ac:dyDescent="0.25">
      <c r="B378" s="27" t="str">
        <f>IFERROR(INDEX(Activos!$B$3:$C$16, MATCH(C378,Activos!$B$3:$B$16),2),"")</f>
        <v/>
      </c>
      <c r="C378" s="27"/>
      <c r="D378" s="27"/>
      <c r="E378" s="25"/>
      <c r="F378" s="26" t="str">
        <f>IF(E378='Tablas AR'!$B$4,1,IF('Análisis de Riesgos'!E378='Tablas AR'!$B$5,2,IF('Análisis de Riesgos'!E378='Tablas AR'!$B$6,3,"")))</f>
        <v/>
      </c>
      <c r="G378" s="25"/>
      <c r="H378" s="26" t="str">
        <f>IF(G378='Tablas AR'!$B$10,1,IF('Análisis de Riesgos'!G378='Tablas AR'!$B$11,2,IF('Análisis de Riesgos'!G378='Tablas AR'!$B$12,3,"")))</f>
        <v/>
      </c>
      <c r="I378" s="26" t="str">
        <f t="shared" si="5"/>
        <v/>
      </c>
    </row>
    <row r="379" spans="2:9" x14ac:dyDescent="0.25">
      <c r="B379" s="27" t="str">
        <f>IFERROR(INDEX(Activos!$B$3:$C$16, MATCH(C379,Activos!$B$3:$B$16),2),"")</f>
        <v/>
      </c>
      <c r="C379" s="27"/>
      <c r="D379" s="27"/>
      <c r="E379" s="25"/>
      <c r="F379" s="26" t="str">
        <f>IF(E379='Tablas AR'!$B$4,1,IF('Análisis de Riesgos'!E379='Tablas AR'!$B$5,2,IF('Análisis de Riesgos'!E379='Tablas AR'!$B$6,3,"")))</f>
        <v/>
      </c>
      <c r="G379" s="25"/>
      <c r="H379" s="26" t="str">
        <f>IF(G379='Tablas AR'!$B$10,1,IF('Análisis de Riesgos'!G379='Tablas AR'!$B$11,2,IF('Análisis de Riesgos'!G379='Tablas AR'!$B$12,3,"")))</f>
        <v/>
      </c>
      <c r="I379" s="26" t="str">
        <f t="shared" si="5"/>
        <v/>
      </c>
    </row>
    <row r="380" spans="2:9" x14ac:dyDescent="0.25">
      <c r="B380" s="27" t="str">
        <f>IFERROR(INDEX(Activos!$B$3:$C$16, MATCH(C380,Activos!$B$3:$B$16),2),"")</f>
        <v/>
      </c>
      <c r="C380" s="27"/>
      <c r="D380" s="27"/>
      <c r="E380" s="25"/>
      <c r="F380" s="26" t="str">
        <f>IF(E380='Tablas AR'!$B$4,1,IF('Análisis de Riesgos'!E380='Tablas AR'!$B$5,2,IF('Análisis de Riesgos'!E380='Tablas AR'!$B$6,3,"")))</f>
        <v/>
      </c>
      <c r="G380" s="25"/>
      <c r="H380" s="26" t="str">
        <f>IF(G380='Tablas AR'!$B$10,1,IF('Análisis de Riesgos'!G380='Tablas AR'!$B$11,2,IF('Análisis de Riesgos'!G380='Tablas AR'!$B$12,3,"")))</f>
        <v/>
      </c>
      <c r="I380" s="26" t="str">
        <f t="shared" si="5"/>
        <v/>
      </c>
    </row>
    <row r="381" spans="2:9" x14ac:dyDescent="0.25">
      <c r="B381" s="27" t="str">
        <f>IFERROR(INDEX(Activos!$B$3:$C$16, MATCH(C381,Activos!$B$3:$B$16),2),"")</f>
        <v/>
      </c>
      <c r="C381" s="27"/>
      <c r="D381" s="27"/>
      <c r="E381" s="25"/>
      <c r="F381" s="26" t="str">
        <f>IF(E381='Tablas AR'!$B$4,1,IF('Análisis de Riesgos'!E381='Tablas AR'!$B$5,2,IF('Análisis de Riesgos'!E381='Tablas AR'!$B$6,3,"")))</f>
        <v/>
      </c>
      <c r="G381" s="25"/>
      <c r="H381" s="26" t="str">
        <f>IF(G381='Tablas AR'!$B$10,1,IF('Análisis de Riesgos'!G381='Tablas AR'!$B$11,2,IF('Análisis de Riesgos'!G381='Tablas AR'!$B$12,3,"")))</f>
        <v/>
      </c>
      <c r="I381" s="26" t="str">
        <f t="shared" si="5"/>
        <v/>
      </c>
    </row>
    <row r="382" spans="2:9" x14ac:dyDescent="0.25">
      <c r="B382" s="27" t="str">
        <f>IFERROR(INDEX(Activos!$B$3:$C$16, MATCH(C382,Activos!$B$3:$B$16),2),"")</f>
        <v/>
      </c>
      <c r="C382" s="27"/>
      <c r="D382" s="27"/>
      <c r="E382" s="25"/>
      <c r="F382" s="26" t="str">
        <f>IF(E382='Tablas AR'!$B$4,1,IF('Análisis de Riesgos'!E382='Tablas AR'!$B$5,2,IF('Análisis de Riesgos'!E382='Tablas AR'!$B$6,3,"")))</f>
        <v/>
      </c>
      <c r="G382" s="25"/>
      <c r="H382" s="26" t="str">
        <f>IF(G382='Tablas AR'!$B$10,1,IF('Análisis de Riesgos'!G382='Tablas AR'!$B$11,2,IF('Análisis de Riesgos'!G382='Tablas AR'!$B$12,3,"")))</f>
        <v/>
      </c>
      <c r="I382" s="26" t="str">
        <f t="shared" si="5"/>
        <v/>
      </c>
    </row>
    <row r="383" spans="2:9" x14ac:dyDescent="0.25">
      <c r="B383" s="27" t="str">
        <f>IFERROR(INDEX(Activos!$B$3:$C$16, MATCH(C383,Activos!$B$3:$B$16),2),"")</f>
        <v/>
      </c>
      <c r="C383" s="27"/>
      <c r="D383" s="27"/>
      <c r="E383" s="25"/>
      <c r="F383" s="26" t="str">
        <f>IF(E383='Tablas AR'!$B$4,1,IF('Análisis de Riesgos'!E383='Tablas AR'!$B$5,2,IF('Análisis de Riesgos'!E383='Tablas AR'!$B$6,3,"")))</f>
        <v/>
      </c>
      <c r="G383" s="25"/>
      <c r="H383" s="26" t="str">
        <f>IF(G383='Tablas AR'!$B$10,1,IF('Análisis de Riesgos'!G383='Tablas AR'!$B$11,2,IF('Análisis de Riesgos'!G383='Tablas AR'!$B$12,3,"")))</f>
        <v/>
      </c>
      <c r="I383" s="26" t="str">
        <f t="shared" si="5"/>
        <v/>
      </c>
    </row>
    <row r="384" spans="2:9" x14ac:dyDescent="0.25">
      <c r="B384" s="27" t="str">
        <f>IFERROR(INDEX(Activos!$B$3:$C$16, MATCH(C384,Activos!$B$3:$B$16),2),"")</f>
        <v/>
      </c>
      <c r="C384" s="27"/>
      <c r="D384" s="27"/>
      <c r="E384" s="25"/>
      <c r="F384" s="26" t="str">
        <f>IF(E384='Tablas AR'!$B$4,1,IF('Análisis de Riesgos'!E384='Tablas AR'!$B$5,2,IF('Análisis de Riesgos'!E384='Tablas AR'!$B$6,3,"")))</f>
        <v/>
      </c>
      <c r="G384" s="25"/>
      <c r="H384" s="26" t="str">
        <f>IF(G384='Tablas AR'!$B$10,1,IF('Análisis de Riesgos'!G384='Tablas AR'!$B$11,2,IF('Análisis de Riesgos'!G384='Tablas AR'!$B$12,3,"")))</f>
        <v/>
      </c>
      <c r="I384" s="26" t="str">
        <f t="shared" si="5"/>
        <v/>
      </c>
    </row>
    <row r="385" spans="2:9" x14ac:dyDescent="0.25">
      <c r="B385" s="27" t="str">
        <f>IFERROR(INDEX(Activos!$B$3:$C$16, MATCH(C385,Activos!$B$3:$B$16),2),"")</f>
        <v/>
      </c>
      <c r="C385" s="27"/>
      <c r="D385" s="27"/>
      <c r="E385" s="25"/>
      <c r="F385" s="26" t="str">
        <f>IF(E385='Tablas AR'!$B$4,1,IF('Análisis de Riesgos'!E385='Tablas AR'!$B$5,2,IF('Análisis de Riesgos'!E385='Tablas AR'!$B$6,3,"")))</f>
        <v/>
      </c>
      <c r="G385" s="25"/>
      <c r="H385" s="26" t="str">
        <f>IF(G385='Tablas AR'!$B$10,1,IF('Análisis de Riesgos'!G385='Tablas AR'!$B$11,2,IF('Análisis de Riesgos'!G385='Tablas AR'!$B$12,3,"")))</f>
        <v/>
      </c>
      <c r="I385" s="26" t="str">
        <f t="shared" si="5"/>
        <v/>
      </c>
    </row>
    <row r="386" spans="2:9" x14ac:dyDescent="0.25">
      <c r="B386" s="27" t="str">
        <f>IFERROR(INDEX(Activos!$B$3:$C$16, MATCH(C386,Activos!$B$3:$B$16),2),"")</f>
        <v/>
      </c>
      <c r="C386" s="27"/>
      <c r="D386" s="27"/>
      <c r="E386" s="25"/>
      <c r="F386" s="26" t="str">
        <f>IF(E386='Tablas AR'!$B$4,1,IF('Análisis de Riesgos'!E386='Tablas AR'!$B$5,2,IF('Análisis de Riesgos'!E386='Tablas AR'!$B$6,3,"")))</f>
        <v/>
      </c>
      <c r="G386" s="25"/>
      <c r="H386" s="26" t="str">
        <f>IF(G386='Tablas AR'!$B$10,1,IF('Análisis de Riesgos'!G386='Tablas AR'!$B$11,2,IF('Análisis de Riesgos'!G386='Tablas AR'!$B$12,3,"")))</f>
        <v/>
      </c>
      <c r="I386" s="26" t="str">
        <f t="shared" si="5"/>
        <v/>
      </c>
    </row>
    <row r="387" spans="2:9" x14ac:dyDescent="0.25">
      <c r="B387" s="27" t="str">
        <f>IFERROR(INDEX(Activos!$B$3:$C$16, MATCH(C387,Activos!$B$3:$B$16),2),"")</f>
        <v/>
      </c>
      <c r="C387" s="27"/>
      <c r="D387" s="27"/>
      <c r="E387" s="25"/>
      <c r="F387" s="26" t="str">
        <f>IF(E387='Tablas AR'!$B$4,1,IF('Análisis de Riesgos'!E387='Tablas AR'!$B$5,2,IF('Análisis de Riesgos'!E387='Tablas AR'!$B$6,3,"")))</f>
        <v/>
      </c>
      <c r="G387" s="25"/>
      <c r="H387" s="26" t="str">
        <f>IF(G387='Tablas AR'!$B$10,1,IF('Análisis de Riesgos'!G387='Tablas AR'!$B$11,2,IF('Análisis de Riesgos'!G387='Tablas AR'!$B$12,3,"")))</f>
        <v/>
      </c>
      <c r="I387" s="26" t="str">
        <f t="shared" si="5"/>
        <v/>
      </c>
    </row>
    <row r="388" spans="2:9" x14ac:dyDescent="0.25">
      <c r="B388" s="27" t="str">
        <f>IFERROR(INDEX(Activos!$B$3:$C$16, MATCH(C388,Activos!$B$3:$B$16),2),"")</f>
        <v/>
      </c>
      <c r="C388" s="27"/>
      <c r="D388" s="27"/>
      <c r="E388" s="25"/>
      <c r="F388" s="26" t="str">
        <f>IF(E388='Tablas AR'!$B$4,1,IF('Análisis de Riesgos'!E388='Tablas AR'!$B$5,2,IF('Análisis de Riesgos'!E388='Tablas AR'!$B$6,3,"")))</f>
        <v/>
      </c>
      <c r="G388" s="25"/>
      <c r="H388" s="26" t="str">
        <f>IF(G388='Tablas AR'!$B$10,1,IF('Análisis de Riesgos'!G388='Tablas AR'!$B$11,2,IF('Análisis de Riesgos'!G388='Tablas AR'!$B$12,3,"")))</f>
        <v/>
      </c>
      <c r="I388" s="26" t="str">
        <f t="shared" ref="I388:I451" si="6" xml:space="preserve"> IFERROR(F388*H388,"")</f>
        <v/>
      </c>
    </row>
    <row r="389" spans="2:9" x14ac:dyDescent="0.25">
      <c r="B389" s="27" t="str">
        <f>IFERROR(INDEX(Activos!$B$3:$C$16, MATCH(C389,Activos!$B$3:$B$16),2),"")</f>
        <v/>
      </c>
      <c r="C389" s="27"/>
      <c r="D389" s="27"/>
      <c r="E389" s="25"/>
      <c r="F389" s="26" t="str">
        <f>IF(E389='Tablas AR'!$B$4,1,IF('Análisis de Riesgos'!E389='Tablas AR'!$B$5,2,IF('Análisis de Riesgos'!E389='Tablas AR'!$B$6,3,"")))</f>
        <v/>
      </c>
      <c r="G389" s="25"/>
      <c r="H389" s="26" t="str">
        <f>IF(G389='Tablas AR'!$B$10,1,IF('Análisis de Riesgos'!G389='Tablas AR'!$B$11,2,IF('Análisis de Riesgos'!G389='Tablas AR'!$B$12,3,"")))</f>
        <v/>
      </c>
      <c r="I389" s="26" t="str">
        <f t="shared" si="6"/>
        <v/>
      </c>
    </row>
    <row r="390" spans="2:9" x14ac:dyDescent="0.25">
      <c r="B390" s="27" t="str">
        <f>IFERROR(INDEX(Activos!$B$3:$C$16, MATCH(C390,Activos!$B$3:$B$16),2),"")</f>
        <v/>
      </c>
      <c r="C390" s="27"/>
      <c r="D390" s="27"/>
      <c r="E390" s="25"/>
      <c r="F390" s="26" t="str">
        <f>IF(E390='Tablas AR'!$B$4,1,IF('Análisis de Riesgos'!E390='Tablas AR'!$B$5,2,IF('Análisis de Riesgos'!E390='Tablas AR'!$B$6,3,"")))</f>
        <v/>
      </c>
      <c r="G390" s="25"/>
      <c r="H390" s="26" t="str">
        <f>IF(G390='Tablas AR'!$B$10,1,IF('Análisis de Riesgos'!G390='Tablas AR'!$B$11,2,IF('Análisis de Riesgos'!G390='Tablas AR'!$B$12,3,"")))</f>
        <v/>
      </c>
      <c r="I390" s="26" t="str">
        <f t="shared" si="6"/>
        <v/>
      </c>
    </row>
    <row r="391" spans="2:9" x14ac:dyDescent="0.25">
      <c r="B391" s="27" t="str">
        <f>IFERROR(INDEX(Activos!$B$3:$C$16, MATCH(C391,Activos!$B$3:$B$16),2),"")</f>
        <v/>
      </c>
      <c r="C391" s="27"/>
      <c r="D391" s="27"/>
      <c r="E391" s="25"/>
      <c r="F391" s="26" t="str">
        <f>IF(E391='Tablas AR'!$B$4,1,IF('Análisis de Riesgos'!E391='Tablas AR'!$B$5,2,IF('Análisis de Riesgos'!E391='Tablas AR'!$B$6,3,"")))</f>
        <v/>
      </c>
      <c r="G391" s="25"/>
      <c r="H391" s="26" t="str">
        <f>IF(G391='Tablas AR'!$B$10,1,IF('Análisis de Riesgos'!G391='Tablas AR'!$B$11,2,IF('Análisis de Riesgos'!G391='Tablas AR'!$B$12,3,"")))</f>
        <v/>
      </c>
      <c r="I391" s="26" t="str">
        <f t="shared" si="6"/>
        <v/>
      </c>
    </row>
    <row r="392" spans="2:9" x14ac:dyDescent="0.25">
      <c r="B392" s="27" t="str">
        <f>IFERROR(INDEX(Activos!$B$3:$C$16, MATCH(C392,Activos!$B$3:$B$16),2),"")</f>
        <v/>
      </c>
      <c r="C392" s="27"/>
      <c r="D392" s="27"/>
      <c r="E392" s="25"/>
      <c r="F392" s="26" t="str">
        <f>IF(E392='Tablas AR'!$B$4,1,IF('Análisis de Riesgos'!E392='Tablas AR'!$B$5,2,IF('Análisis de Riesgos'!E392='Tablas AR'!$B$6,3,"")))</f>
        <v/>
      </c>
      <c r="G392" s="25"/>
      <c r="H392" s="26" t="str">
        <f>IF(G392='Tablas AR'!$B$10,1,IF('Análisis de Riesgos'!G392='Tablas AR'!$B$11,2,IF('Análisis de Riesgos'!G392='Tablas AR'!$B$12,3,"")))</f>
        <v/>
      </c>
      <c r="I392" s="26" t="str">
        <f t="shared" si="6"/>
        <v/>
      </c>
    </row>
    <row r="393" spans="2:9" x14ac:dyDescent="0.25">
      <c r="B393" s="27" t="str">
        <f>IFERROR(INDEX(Activos!$B$3:$C$16, MATCH(C393,Activos!$B$3:$B$16),2),"")</f>
        <v/>
      </c>
      <c r="C393" s="27"/>
      <c r="D393" s="27"/>
      <c r="E393" s="25"/>
      <c r="F393" s="26" t="str">
        <f>IF(E393='Tablas AR'!$B$4,1,IF('Análisis de Riesgos'!E393='Tablas AR'!$B$5,2,IF('Análisis de Riesgos'!E393='Tablas AR'!$B$6,3,"")))</f>
        <v/>
      </c>
      <c r="G393" s="25"/>
      <c r="H393" s="26" t="str">
        <f>IF(G393='Tablas AR'!$B$10,1,IF('Análisis de Riesgos'!G393='Tablas AR'!$B$11,2,IF('Análisis de Riesgos'!G393='Tablas AR'!$B$12,3,"")))</f>
        <v/>
      </c>
      <c r="I393" s="26" t="str">
        <f t="shared" si="6"/>
        <v/>
      </c>
    </row>
    <row r="394" spans="2:9" x14ac:dyDescent="0.25">
      <c r="B394" s="27" t="str">
        <f>IFERROR(INDEX(Activos!$B$3:$C$16, MATCH(C394,Activos!$B$3:$B$16),2),"")</f>
        <v/>
      </c>
      <c r="C394" s="27"/>
      <c r="D394" s="27"/>
      <c r="E394" s="25"/>
      <c r="F394" s="26" t="str">
        <f>IF(E394='Tablas AR'!$B$4,1,IF('Análisis de Riesgos'!E394='Tablas AR'!$B$5,2,IF('Análisis de Riesgos'!E394='Tablas AR'!$B$6,3,"")))</f>
        <v/>
      </c>
      <c r="G394" s="25"/>
      <c r="H394" s="26" t="str">
        <f>IF(G394='Tablas AR'!$B$10,1,IF('Análisis de Riesgos'!G394='Tablas AR'!$B$11,2,IF('Análisis de Riesgos'!G394='Tablas AR'!$B$12,3,"")))</f>
        <v/>
      </c>
      <c r="I394" s="26" t="str">
        <f t="shared" si="6"/>
        <v/>
      </c>
    </row>
    <row r="395" spans="2:9" x14ac:dyDescent="0.25">
      <c r="B395" s="27" t="str">
        <f>IFERROR(INDEX(Activos!$B$3:$C$16, MATCH(C395,Activos!$B$3:$B$16),2),"")</f>
        <v/>
      </c>
      <c r="C395" s="27"/>
      <c r="D395" s="27"/>
      <c r="E395" s="25"/>
      <c r="F395" s="26" t="str">
        <f>IF(E395='Tablas AR'!$B$4,1,IF('Análisis de Riesgos'!E395='Tablas AR'!$B$5,2,IF('Análisis de Riesgos'!E395='Tablas AR'!$B$6,3,"")))</f>
        <v/>
      </c>
      <c r="G395" s="25"/>
      <c r="H395" s="26" t="str">
        <f>IF(G395='Tablas AR'!$B$10,1,IF('Análisis de Riesgos'!G395='Tablas AR'!$B$11,2,IF('Análisis de Riesgos'!G395='Tablas AR'!$B$12,3,"")))</f>
        <v/>
      </c>
      <c r="I395" s="26" t="str">
        <f t="shared" si="6"/>
        <v/>
      </c>
    </row>
    <row r="396" spans="2:9" x14ac:dyDescent="0.25">
      <c r="B396" s="27" t="str">
        <f>IFERROR(INDEX(Activos!$B$3:$C$16, MATCH(C396,Activos!$B$3:$B$16),2),"")</f>
        <v/>
      </c>
      <c r="C396" s="27"/>
      <c r="D396" s="27"/>
      <c r="E396" s="25"/>
      <c r="F396" s="26" t="str">
        <f>IF(E396='Tablas AR'!$B$4,1,IF('Análisis de Riesgos'!E396='Tablas AR'!$B$5,2,IF('Análisis de Riesgos'!E396='Tablas AR'!$B$6,3,"")))</f>
        <v/>
      </c>
      <c r="G396" s="25"/>
      <c r="H396" s="26" t="str">
        <f>IF(G396='Tablas AR'!$B$10,1,IF('Análisis de Riesgos'!G396='Tablas AR'!$B$11,2,IF('Análisis de Riesgos'!G396='Tablas AR'!$B$12,3,"")))</f>
        <v/>
      </c>
      <c r="I396" s="26" t="str">
        <f t="shared" si="6"/>
        <v/>
      </c>
    </row>
    <row r="397" spans="2:9" x14ac:dyDescent="0.25">
      <c r="B397" s="27" t="str">
        <f>IFERROR(INDEX(Activos!$B$3:$C$16, MATCH(C397,Activos!$B$3:$B$16),2),"")</f>
        <v/>
      </c>
      <c r="C397" s="27"/>
      <c r="D397" s="27"/>
      <c r="E397" s="25"/>
      <c r="F397" s="26" t="str">
        <f>IF(E397='Tablas AR'!$B$4,1,IF('Análisis de Riesgos'!E397='Tablas AR'!$B$5,2,IF('Análisis de Riesgos'!E397='Tablas AR'!$B$6,3,"")))</f>
        <v/>
      </c>
      <c r="G397" s="25"/>
      <c r="H397" s="26" t="str">
        <f>IF(G397='Tablas AR'!$B$10,1,IF('Análisis de Riesgos'!G397='Tablas AR'!$B$11,2,IF('Análisis de Riesgos'!G397='Tablas AR'!$B$12,3,"")))</f>
        <v/>
      </c>
      <c r="I397" s="26" t="str">
        <f t="shared" si="6"/>
        <v/>
      </c>
    </row>
    <row r="398" spans="2:9" x14ac:dyDescent="0.25">
      <c r="B398" s="27" t="str">
        <f>IFERROR(INDEX(Activos!$B$3:$C$16, MATCH(C398,Activos!$B$3:$B$16),2),"")</f>
        <v/>
      </c>
      <c r="C398" s="27"/>
      <c r="D398" s="27"/>
      <c r="E398" s="25"/>
      <c r="F398" s="26" t="str">
        <f>IF(E398='Tablas AR'!$B$4,1,IF('Análisis de Riesgos'!E398='Tablas AR'!$B$5,2,IF('Análisis de Riesgos'!E398='Tablas AR'!$B$6,3,"")))</f>
        <v/>
      </c>
      <c r="G398" s="25"/>
      <c r="H398" s="26" t="str">
        <f>IF(G398='Tablas AR'!$B$10,1,IF('Análisis de Riesgos'!G398='Tablas AR'!$B$11,2,IF('Análisis de Riesgos'!G398='Tablas AR'!$B$12,3,"")))</f>
        <v/>
      </c>
      <c r="I398" s="26" t="str">
        <f t="shared" si="6"/>
        <v/>
      </c>
    </row>
    <row r="399" spans="2:9" x14ac:dyDescent="0.25">
      <c r="B399" s="27" t="str">
        <f>IFERROR(INDEX(Activos!$B$3:$C$16, MATCH(C399,Activos!$B$3:$B$16),2),"")</f>
        <v/>
      </c>
      <c r="C399" s="27"/>
      <c r="D399" s="27"/>
      <c r="E399" s="25"/>
      <c r="F399" s="26" t="str">
        <f>IF(E399='Tablas AR'!$B$4,1,IF('Análisis de Riesgos'!E399='Tablas AR'!$B$5,2,IF('Análisis de Riesgos'!E399='Tablas AR'!$B$6,3,"")))</f>
        <v/>
      </c>
      <c r="G399" s="25"/>
      <c r="H399" s="26" t="str">
        <f>IF(G399='Tablas AR'!$B$10,1,IF('Análisis de Riesgos'!G399='Tablas AR'!$B$11,2,IF('Análisis de Riesgos'!G399='Tablas AR'!$B$12,3,"")))</f>
        <v/>
      </c>
      <c r="I399" s="26" t="str">
        <f t="shared" si="6"/>
        <v/>
      </c>
    </row>
    <row r="400" spans="2:9" x14ac:dyDescent="0.25">
      <c r="B400" s="27" t="str">
        <f>IFERROR(INDEX(Activos!$B$3:$C$16, MATCH(C400,Activos!$B$3:$B$16),2),"")</f>
        <v/>
      </c>
      <c r="C400" s="27"/>
      <c r="D400" s="27"/>
      <c r="E400" s="25"/>
      <c r="F400" s="26" t="str">
        <f>IF(E400='Tablas AR'!$B$4,1,IF('Análisis de Riesgos'!E400='Tablas AR'!$B$5,2,IF('Análisis de Riesgos'!E400='Tablas AR'!$B$6,3,"")))</f>
        <v/>
      </c>
      <c r="G400" s="25"/>
      <c r="H400" s="26" t="str">
        <f>IF(G400='Tablas AR'!$B$10,1,IF('Análisis de Riesgos'!G400='Tablas AR'!$B$11,2,IF('Análisis de Riesgos'!G400='Tablas AR'!$B$12,3,"")))</f>
        <v/>
      </c>
      <c r="I400" s="26" t="str">
        <f t="shared" si="6"/>
        <v/>
      </c>
    </row>
    <row r="401" spans="2:9" x14ac:dyDescent="0.25">
      <c r="B401" s="27" t="str">
        <f>IFERROR(INDEX(Activos!$B$3:$C$16, MATCH(C401,Activos!$B$3:$B$16),2),"")</f>
        <v/>
      </c>
      <c r="C401" s="27"/>
      <c r="D401" s="27"/>
      <c r="E401" s="25"/>
      <c r="F401" s="26" t="str">
        <f>IF(E401='Tablas AR'!$B$4,1,IF('Análisis de Riesgos'!E401='Tablas AR'!$B$5,2,IF('Análisis de Riesgos'!E401='Tablas AR'!$B$6,3,"")))</f>
        <v/>
      </c>
      <c r="G401" s="25"/>
      <c r="H401" s="26" t="str">
        <f>IF(G401='Tablas AR'!$B$10,1,IF('Análisis de Riesgos'!G401='Tablas AR'!$B$11,2,IF('Análisis de Riesgos'!G401='Tablas AR'!$B$12,3,"")))</f>
        <v/>
      </c>
      <c r="I401" s="26" t="str">
        <f t="shared" si="6"/>
        <v/>
      </c>
    </row>
    <row r="402" spans="2:9" x14ac:dyDescent="0.25">
      <c r="B402" s="27" t="str">
        <f>IFERROR(INDEX(Activos!$B$3:$C$16, MATCH(C402,Activos!$B$3:$B$16),2),"")</f>
        <v/>
      </c>
      <c r="C402" s="27"/>
      <c r="D402" s="27"/>
      <c r="E402" s="25"/>
      <c r="F402" s="26" t="str">
        <f>IF(E402='Tablas AR'!$B$4,1,IF('Análisis de Riesgos'!E402='Tablas AR'!$B$5,2,IF('Análisis de Riesgos'!E402='Tablas AR'!$B$6,3,"")))</f>
        <v/>
      </c>
      <c r="G402" s="25"/>
      <c r="H402" s="26" t="str">
        <f>IF(G402='Tablas AR'!$B$10,1,IF('Análisis de Riesgos'!G402='Tablas AR'!$B$11,2,IF('Análisis de Riesgos'!G402='Tablas AR'!$B$12,3,"")))</f>
        <v/>
      </c>
      <c r="I402" s="26" t="str">
        <f t="shared" si="6"/>
        <v/>
      </c>
    </row>
    <row r="403" spans="2:9" x14ac:dyDescent="0.25">
      <c r="B403" s="27" t="str">
        <f>IFERROR(INDEX(Activos!$B$3:$C$16, MATCH(C403,Activos!$B$3:$B$16),2),"")</f>
        <v/>
      </c>
      <c r="C403" s="27"/>
      <c r="D403" s="27"/>
      <c r="E403" s="25"/>
      <c r="F403" s="26" t="str">
        <f>IF(E403='Tablas AR'!$B$4,1,IF('Análisis de Riesgos'!E403='Tablas AR'!$B$5,2,IF('Análisis de Riesgos'!E403='Tablas AR'!$B$6,3,"")))</f>
        <v/>
      </c>
      <c r="G403" s="25"/>
      <c r="H403" s="26" t="str">
        <f>IF(G403='Tablas AR'!$B$10,1,IF('Análisis de Riesgos'!G403='Tablas AR'!$B$11,2,IF('Análisis de Riesgos'!G403='Tablas AR'!$B$12,3,"")))</f>
        <v/>
      </c>
      <c r="I403" s="26" t="str">
        <f t="shared" si="6"/>
        <v/>
      </c>
    </row>
    <row r="404" spans="2:9" x14ac:dyDescent="0.25">
      <c r="B404" s="27" t="str">
        <f>IFERROR(INDEX(Activos!$B$3:$C$16, MATCH(C404,Activos!$B$3:$B$16),2),"")</f>
        <v/>
      </c>
      <c r="C404" s="27"/>
      <c r="D404" s="27"/>
      <c r="E404" s="25"/>
      <c r="F404" s="26" t="str">
        <f>IF(E404='Tablas AR'!$B$4,1,IF('Análisis de Riesgos'!E404='Tablas AR'!$B$5,2,IF('Análisis de Riesgos'!E404='Tablas AR'!$B$6,3,"")))</f>
        <v/>
      </c>
      <c r="G404" s="25"/>
      <c r="H404" s="26" t="str">
        <f>IF(G404='Tablas AR'!$B$10,1,IF('Análisis de Riesgos'!G404='Tablas AR'!$B$11,2,IF('Análisis de Riesgos'!G404='Tablas AR'!$B$12,3,"")))</f>
        <v/>
      </c>
      <c r="I404" s="26" t="str">
        <f t="shared" si="6"/>
        <v/>
      </c>
    </row>
    <row r="405" spans="2:9" x14ac:dyDescent="0.25">
      <c r="B405" s="27" t="str">
        <f>IFERROR(INDEX(Activos!$B$3:$C$16, MATCH(C405,Activos!$B$3:$B$16),2),"")</f>
        <v/>
      </c>
      <c r="C405" s="27"/>
      <c r="D405" s="27"/>
      <c r="E405" s="25"/>
      <c r="F405" s="26" t="str">
        <f>IF(E405='Tablas AR'!$B$4,1,IF('Análisis de Riesgos'!E405='Tablas AR'!$B$5,2,IF('Análisis de Riesgos'!E405='Tablas AR'!$B$6,3,"")))</f>
        <v/>
      </c>
      <c r="G405" s="25"/>
      <c r="H405" s="26" t="str">
        <f>IF(G405='Tablas AR'!$B$10,1,IF('Análisis de Riesgos'!G405='Tablas AR'!$B$11,2,IF('Análisis de Riesgos'!G405='Tablas AR'!$B$12,3,"")))</f>
        <v/>
      </c>
      <c r="I405" s="26" t="str">
        <f t="shared" si="6"/>
        <v/>
      </c>
    </row>
    <row r="406" spans="2:9" x14ac:dyDescent="0.25">
      <c r="B406" s="27" t="str">
        <f>IFERROR(INDEX(Activos!$B$3:$C$16, MATCH(C406,Activos!$B$3:$B$16),2),"")</f>
        <v/>
      </c>
      <c r="C406" s="27"/>
      <c r="D406" s="27"/>
      <c r="E406" s="25"/>
      <c r="F406" s="26" t="str">
        <f>IF(E406='Tablas AR'!$B$4,1,IF('Análisis de Riesgos'!E406='Tablas AR'!$B$5,2,IF('Análisis de Riesgos'!E406='Tablas AR'!$B$6,3,"")))</f>
        <v/>
      </c>
      <c r="G406" s="25"/>
      <c r="H406" s="26" t="str">
        <f>IF(G406='Tablas AR'!$B$10,1,IF('Análisis de Riesgos'!G406='Tablas AR'!$B$11,2,IF('Análisis de Riesgos'!G406='Tablas AR'!$B$12,3,"")))</f>
        <v/>
      </c>
      <c r="I406" s="26" t="str">
        <f t="shared" si="6"/>
        <v/>
      </c>
    </row>
    <row r="407" spans="2:9" x14ac:dyDescent="0.25">
      <c r="B407" s="27" t="str">
        <f>IFERROR(INDEX(Activos!$B$3:$C$16, MATCH(C407,Activos!$B$3:$B$16),2),"")</f>
        <v/>
      </c>
      <c r="C407" s="27"/>
      <c r="D407" s="27"/>
      <c r="E407" s="25"/>
      <c r="F407" s="26" t="str">
        <f>IF(E407='Tablas AR'!$B$4,1,IF('Análisis de Riesgos'!E407='Tablas AR'!$B$5,2,IF('Análisis de Riesgos'!E407='Tablas AR'!$B$6,3,"")))</f>
        <v/>
      </c>
      <c r="G407" s="25"/>
      <c r="H407" s="26" t="str">
        <f>IF(G407='Tablas AR'!$B$10,1,IF('Análisis de Riesgos'!G407='Tablas AR'!$B$11,2,IF('Análisis de Riesgos'!G407='Tablas AR'!$B$12,3,"")))</f>
        <v/>
      </c>
      <c r="I407" s="26" t="str">
        <f t="shared" si="6"/>
        <v/>
      </c>
    </row>
    <row r="408" spans="2:9" x14ac:dyDescent="0.25">
      <c r="B408" s="27" t="str">
        <f>IFERROR(INDEX(Activos!$B$3:$C$16, MATCH(C408,Activos!$B$3:$B$16),2),"")</f>
        <v/>
      </c>
      <c r="C408" s="27"/>
      <c r="D408" s="27"/>
      <c r="E408" s="25"/>
      <c r="F408" s="26" t="str">
        <f>IF(E408='Tablas AR'!$B$4,1,IF('Análisis de Riesgos'!E408='Tablas AR'!$B$5,2,IF('Análisis de Riesgos'!E408='Tablas AR'!$B$6,3,"")))</f>
        <v/>
      </c>
      <c r="G408" s="25"/>
      <c r="H408" s="26" t="str">
        <f>IF(G408='Tablas AR'!$B$10,1,IF('Análisis de Riesgos'!G408='Tablas AR'!$B$11,2,IF('Análisis de Riesgos'!G408='Tablas AR'!$B$12,3,"")))</f>
        <v/>
      </c>
      <c r="I408" s="26" t="str">
        <f t="shared" si="6"/>
        <v/>
      </c>
    </row>
    <row r="409" spans="2:9" x14ac:dyDescent="0.25">
      <c r="B409" s="27" t="str">
        <f>IFERROR(INDEX(Activos!$B$3:$C$16, MATCH(C409,Activos!$B$3:$B$16),2),"")</f>
        <v/>
      </c>
      <c r="C409" s="27"/>
      <c r="D409" s="27"/>
      <c r="E409" s="25"/>
      <c r="F409" s="26" t="str">
        <f>IF(E409='Tablas AR'!$B$4,1,IF('Análisis de Riesgos'!E409='Tablas AR'!$B$5,2,IF('Análisis de Riesgos'!E409='Tablas AR'!$B$6,3,"")))</f>
        <v/>
      </c>
      <c r="G409" s="25"/>
      <c r="H409" s="26" t="str">
        <f>IF(G409='Tablas AR'!$B$10,1,IF('Análisis de Riesgos'!G409='Tablas AR'!$B$11,2,IF('Análisis de Riesgos'!G409='Tablas AR'!$B$12,3,"")))</f>
        <v/>
      </c>
      <c r="I409" s="26" t="str">
        <f t="shared" si="6"/>
        <v/>
      </c>
    </row>
    <row r="410" spans="2:9" x14ac:dyDescent="0.25">
      <c r="B410" s="27" t="str">
        <f>IFERROR(INDEX(Activos!$B$3:$C$16, MATCH(C410,Activos!$B$3:$B$16),2),"")</f>
        <v/>
      </c>
      <c r="C410" s="27"/>
      <c r="D410" s="27"/>
      <c r="E410" s="25"/>
      <c r="F410" s="26" t="str">
        <f>IF(E410='Tablas AR'!$B$4,1,IF('Análisis de Riesgos'!E410='Tablas AR'!$B$5,2,IF('Análisis de Riesgos'!E410='Tablas AR'!$B$6,3,"")))</f>
        <v/>
      </c>
      <c r="G410" s="25"/>
      <c r="H410" s="26" t="str">
        <f>IF(G410='Tablas AR'!$B$10,1,IF('Análisis de Riesgos'!G410='Tablas AR'!$B$11,2,IF('Análisis de Riesgos'!G410='Tablas AR'!$B$12,3,"")))</f>
        <v/>
      </c>
      <c r="I410" s="26" t="str">
        <f t="shared" si="6"/>
        <v/>
      </c>
    </row>
    <row r="411" spans="2:9" x14ac:dyDescent="0.25">
      <c r="B411" s="27" t="str">
        <f>IFERROR(INDEX(Activos!$B$3:$C$16, MATCH(C411,Activos!$B$3:$B$16),2),"")</f>
        <v/>
      </c>
      <c r="C411" s="27"/>
      <c r="D411" s="27"/>
      <c r="E411" s="25"/>
      <c r="F411" s="26" t="str">
        <f>IF(E411='Tablas AR'!$B$4,1,IF('Análisis de Riesgos'!E411='Tablas AR'!$B$5,2,IF('Análisis de Riesgos'!E411='Tablas AR'!$B$6,3,"")))</f>
        <v/>
      </c>
      <c r="G411" s="25"/>
      <c r="H411" s="26" t="str">
        <f>IF(G411='Tablas AR'!$B$10,1,IF('Análisis de Riesgos'!G411='Tablas AR'!$B$11,2,IF('Análisis de Riesgos'!G411='Tablas AR'!$B$12,3,"")))</f>
        <v/>
      </c>
      <c r="I411" s="26" t="str">
        <f t="shared" si="6"/>
        <v/>
      </c>
    </row>
    <row r="412" spans="2:9" x14ac:dyDescent="0.25">
      <c r="B412" s="27" t="str">
        <f>IFERROR(INDEX(Activos!$B$3:$C$16, MATCH(C412,Activos!$B$3:$B$16),2),"")</f>
        <v/>
      </c>
      <c r="C412" s="27"/>
      <c r="D412" s="27"/>
      <c r="E412" s="25"/>
      <c r="F412" s="26" t="str">
        <f>IF(E412='Tablas AR'!$B$4,1,IF('Análisis de Riesgos'!E412='Tablas AR'!$B$5,2,IF('Análisis de Riesgos'!E412='Tablas AR'!$B$6,3,"")))</f>
        <v/>
      </c>
      <c r="G412" s="25"/>
      <c r="H412" s="26" t="str">
        <f>IF(G412='Tablas AR'!$B$10,1,IF('Análisis de Riesgos'!G412='Tablas AR'!$B$11,2,IF('Análisis de Riesgos'!G412='Tablas AR'!$B$12,3,"")))</f>
        <v/>
      </c>
      <c r="I412" s="26" t="str">
        <f t="shared" si="6"/>
        <v/>
      </c>
    </row>
    <row r="413" spans="2:9" x14ac:dyDescent="0.25">
      <c r="B413" s="27" t="str">
        <f>IFERROR(INDEX(Activos!$B$3:$C$16, MATCH(C413,Activos!$B$3:$B$16),2),"")</f>
        <v/>
      </c>
      <c r="C413" s="27"/>
      <c r="D413" s="27"/>
      <c r="E413" s="25"/>
      <c r="F413" s="26" t="str">
        <f>IF(E413='Tablas AR'!$B$4,1,IF('Análisis de Riesgos'!E413='Tablas AR'!$B$5,2,IF('Análisis de Riesgos'!E413='Tablas AR'!$B$6,3,"")))</f>
        <v/>
      </c>
      <c r="G413" s="25"/>
      <c r="H413" s="26" t="str">
        <f>IF(G413='Tablas AR'!$B$10,1,IF('Análisis de Riesgos'!G413='Tablas AR'!$B$11,2,IF('Análisis de Riesgos'!G413='Tablas AR'!$B$12,3,"")))</f>
        <v/>
      </c>
      <c r="I413" s="26" t="str">
        <f t="shared" si="6"/>
        <v/>
      </c>
    </row>
    <row r="414" spans="2:9" x14ac:dyDescent="0.25">
      <c r="B414" s="27" t="str">
        <f>IFERROR(INDEX(Activos!$B$3:$C$16, MATCH(C414,Activos!$B$3:$B$16),2),"")</f>
        <v/>
      </c>
      <c r="C414" s="27"/>
      <c r="D414" s="27"/>
      <c r="E414" s="25"/>
      <c r="F414" s="26" t="str">
        <f>IF(E414='Tablas AR'!$B$4,1,IF('Análisis de Riesgos'!E414='Tablas AR'!$B$5,2,IF('Análisis de Riesgos'!E414='Tablas AR'!$B$6,3,"")))</f>
        <v/>
      </c>
      <c r="G414" s="25"/>
      <c r="H414" s="26" t="str">
        <f>IF(G414='Tablas AR'!$B$10,1,IF('Análisis de Riesgos'!G414='Tablas AR'!$B$11,2,IF('Análisis de Riesgos'!G414='Tablas AR'!$B$12,3,"")))</f>
        <v/>
      </c>
      <c r="I414" s="26" t="str">
        <f t="shared" si="6"/>
        <v/>
      </c>
    </row>
    <row r="415" spans="2:9" x14ac:dyDescent="0.25">
      <c r="B415" s="27" t="str">
        <f>IFERROR(INDEX(Activos!$B$3:$C$16, MATCH(C415,Activos!$B$3:$B$16),2),"")</f>
        <v/>
      </c>
      <c r="C415" s="27"/>
      <c r="D415" s="27"/>
      <c r="E415" s="25"/>
      <c r="F415" s="26" t="str">
        <f>IF(E415='Tablas AR'!$B$4,1,IF('Análisis de Riesgos'!E415='Tablas AR'!$B$5,2,IF('Análisis de Riesgos'!E415='Tablas AR'!$B$6,3,"")))</f>
        <v/>
      </c>
      <c r="G415" s="25"/>
      <c r="H415" s="26" t="str">
        <f>IF(G415='Tablas AR'!$B$10,1,IF('Análisis de Riesgos'!G415='Tablas AR'!$B$11,2,IF('Análisis de Riesgos'!G415='Tablas AR'!$B$12,3,"")))</f>
        <v/>
      </c>
      <c r="I415" s="26" t="str">
        <f t="shared" si="6"/>
        <v/>
      </c>
    </row>
    <row r="416" spans="2:9" x14ac:dyDescent="0.25">
      <c r="B416" s="27" t="str">
        <f>IFERROR(INDEX(Activos!$B$3:$C$16, MATCH(C416,Activos!$B$3:$B$16),2),"")</f>
        <v/>
      </c>
      <c r="C416" s="27"/>
      <c r="D416" s="27"/>
      <c r="E416" s="25"/>
      <c r="F416" s="26" t="str">
        <f>IF(E416='Tablas AR'!$B$4,1,IF('Análisis de Riesgos'!E416='Tablas AR'!$B$5,2,IF('Análisis de Riesgos'!E416='Tablas AR'!$B$6,3,"")))</f>
        <v/>
      </c>
      <c r="G416" s="25"/>
      <c r="H416" s="26" t="str">
        <f>IF(G416='Tablas AR'!$B$10,1,IF('Análisis de Riesgos'!G416='Tablas AR'!$B$11,2,IF('Análisis de Riesgos'!G416='Tablas AR'!$B$12,3,"")))</f>
        <v/>
      </c>
      <c r="I416" s="26" t="str">
        <f t="shared" si="6"/>
        <v/>
      </c>
    </row>
    <row r="417" spans="2:9" x14ac:dyDescent="0.25">
      <c r="B417" s="27" t="str">
        <f>IFERROR(INDEX(Activos!$B$3:$C$16, MATCH(C417,Activos!$B$3:$B$16),2),"")</f>
        <v/>
      </c>
      <c r="C417" s="27"/>
      <c r="D417" s="27"/>
      <c r="E417" s="25"/>
      <c r="F417" s="26" t="str">
        <f>IF(E417='Tablas AR'!$B$4,1,IF('Análisis de Riesgos'!E417='Tablas AR'!$B$5,2,IF('Análisis de Riesgos'!E417='Tablas AR'!$B$6,3,"")))</f>
        <v/>
      </c>
      <c r="G417" s="25"/>
      <c r="H417" s="26" t="str">
        <f>IF(G417='Tablas AR'!$B$10,1,IF('Análisis de Riesgos'!G417='Tablas AR'!$B$11,2,IF('Análisis de Riesgos'!G417='Tablas AR'!$B$12,3,"")))</f>
        <v/>
      </c>
      <c r="I417" s="26" t="str">
        <f t="shared" si="6"/>
        <v/>
      </c>
    </row>
    <row r="418" spans="2:9" x14ac:dyDescent="0.25">
      <c r="B418" s="27" t="str">
        <f>IFERROR(INDEX(Activos!$B$3:$C$16, MATCH(C418,Activos!$B$3:$B$16),2),"")</f>
        <v/>
      </c>
      <c r="C418" s="27"/>
      <c r="D418" s="27"/>
      <c r="E418" s="25"/>
      <c r="F418" s="26" t="str">
        <f>IF(E418='Tablas AR'!$B$4,1,IF('Análisis de Riesgos'!E418='Tablas AR'!$B$5,2,IF('Análisis de Riesgos'!E418='Tablas AR'!$B$6,3,"")))</f>
        <v/>
      </c>
      <c r="G418" s="25"/>
      <c r="H418" s="26" t="str">
        <f>IF(G418='Tablas AR'!$B$10,1,IF('Análisis de Riesgos'!G418='Tablas AR'!$B$11,2,IF('Análisis de Riesgos'!G418='Tablas AR'!$B$12,3,"")))</f>
        <v/>
      </c>
      <c r="I418" s="26" t="str">
        <f t="shared" si="6"/>
        <v/>
      </c>
    </row>
    <row r="419" spans="2:9" x14ac:dyDescent="0.25">
      <c r="B419" s="27" t="str">
        <f>IFERROR(INDEX(Activos!$B$3:$C$16, MATCH(C419,Activos!$B$3:$B$16),2),"")</f>
        <v/>
      </c>
      <c r="C419" s="27"/>
      <c r="D419" s="27"/>
      <c r="E419" s="25"/>
      <c r="F419" s="26" t="str">
        <f>IF(E419='Tablas AR'!$B$4,1,IF('Análisis de Riesgos'!E419='Tablas AR'!$B$5,2,IF('Análisis de Riesgos'!E419='Tablas AR'!$B$6,3,"")))</f>
        <v/>
      </c>
      <c r="G419" s="25"/>
      <c r="H419" s="26" t="str">
        <f>IF(G419='Tablas AR'!$B$10,1,IF('Análisis de Riesgos'!G419='Tablas AR'!$B$11,2,IF('Análisis de Riesgos'!G419='Tablas AR'!$B$12,3,"")))</f>
        <v/>
      </c>
      <c r="I419" s="26" t="str">
        <f t="shared" si="6"/>
        <v/>
      </c>
    </row>
    <row r="420" spans="2:9" x14ac:dyDescent="0.25">
      <c r="B420" s="27" t="str">
        <f>IFERROR(INDEX(Activos!$B$3:$C$16, MATCH(C420,Activos!$B$3:$B$16),2),"")</f>
        <v/>
      </c>
      <c r="C420" s="27"/>
      <c r="D420" s="27"/>
      <c r="E420" s="25"/>
      <c r="F420" s="26" t="str">
        <f>IF(E420='Tablas AR'!$B$4,1,IF('Análisis de Riesgos'!E420='Tablas AR'!$B$5,2,IF('Análisis de Riesgos'!E420='Tablas AR'!$B$6,3,"")))</f>
        <v/>
      </c>
      <c r="G420" s="25"/>
      <c r="H420" s="26" t="str">
        <f>IF(G420='Tablas AR'!$B$10,1,IF('Análisis de Riesgos'!G420='Tablas AR'!$B$11,2,IF('Análisis de Riesgos'!G420='Tablas AR'!$B$12,3,"")))</f>
        <v/>
      </c>
      <c r="I420" s="26" t="str">
        <f t="shared" si="6"/>
        <v/>
      </c>
    </row>
    <row r="421" spans="2:9" x14ac:dyDescent="0.25">
      <c r="B421" s="27" t="str">
        <f>IFERROR(INDEX(Activos!$B$3:$C$16, MATCH(C421,Activos!$B$3:$B$16),2),"")</f>
        <v/>
      </c>
      <c r="C421" s="27"/>
      <c r="D421" s="27"/>
      <c r="E421" s="25"/>
      <c r="F421" s="26" t="str">
        <f>IF(E421='Tablas AR'!$B$4,1,IF('Análisis de Riesgos'!E421='Tablas AR'!$B$5,2,IF('Análisis de Riesgos'!E421='Tablas AR'!$B$6,3,"")))</f>
        <v/>
      </c>
      <c r="G421" s="25"/>
      <c r="H421" s="26" t="str">
        <f>IF(G421='Tablas AR'!$B$10,1,IF('Análisis de Riesgos'!G421='Tablas AR'!$B$11,2,IF('Análisis de Riesgos'!G421='Tablas AR'!$B$12,3,"")))</f>
        <v/>
      </c>
      <c r="I421" s="26" t="str">
        <f t="shared" si="6"/>
        <v/>
      </c>
    </row>
    <row r="422" spans="2:9" x14ac:dyDescent="0.25">
      <c r="B422" s="27" t="str">
        <f>IFERROR(INDEX(Activos!$B$3:$C$16, MATCH(C422,Activos!$B$3:$B$16),2),"")</f>
        <v/>
      </c>
      <c r="C422" s="27"/>
      <c r="D422" s="27"/>
      <c r="E422" s="25"/>
      <c r="F422" s="26" t="str">
        <f>IF(E422='Tablas AR'!$B$4,1,IF('Análisis de Riesgos'!E422='Tablas AR'!$B$5,2,IF('Análisis de Riesgos'!E422='Tablas AR'!$B$6,3,"")))</f>
        <v/>
      </c>
      <c r="G422" s="25"/>
      <c r="H422" s="26" t="str">
        <f>IF(G422='Tablas AR'!$B$10,1,IF('Análisis de Riesgos'!G422='Tablas AR'!$B$11,2,IF('Análisis de Riesgos'!G422='Tablas AR'!$B$12,3,"")))</f>
        <v/>
      </c>
      <c r="I422" s="26" t="str">
        <f t="shared" si="6"/>
        <v/>
      </c>
    </row>
    <row r="423" spans="2:9" x14ac:dyDescent="0.25">
      <c r="B423" s="27" t="str">
        <f>IFERROR(INDEX(Activos!$B$3:$C$16, MATCH(C423,Activos!$B$3:$B$16),2),"")</f>
        <v/>
      </c>
      <c r="C423" s="27"/>
      <c r="D423" s="27"/>
      <c r="E423" s="25"/>
      <c r="F423" s="26" t="str">
        <f>IF(E423='Tablas AR'!$B$4,1,IF('Análisis de Riesgos'!E423='Tablas AR'!$B$5,2,IF('Análisis de Riesgos'!E423='Tablas AR'!$B$6,3,"")))</f>
        <v/>
      </c>
      <c r="G423" s="25"/>
      <c r="H423" s="26" t="str">
        <f>IF(G423='Tablas AR'!$B$10,1,IF('Análisis de Riesgos'!G423='Tablas AR'!$B$11,2,IF('Análisis de Riesgos'!G423='Tablas AR'!$B$12,3,"")))</f>
        <v/>
      </c>
      <c r="I423" s="26" t="str">
        <f t="shared" si="6"/>
        <v/>
      </c>
    </row>
    <row r="424" spans="2:9" x14ac:dyDescent="0.25">
      <c r="B424" s="27" t="str">
        <f>IFERROR(INDEX(Activos!$B$3:$C$16, MATCH(C424,Activos!$B$3:$B$16),2),"")</f>
        <v/>
      </c>
      <c r="C424" s="27"/>
      <c r="D424" s="27"/>
      <c r="E424" s="25"/>
      <c r="F424" s="26" t="str">
        <f>IF(E424='Tablas AR'!$B$4,1,IF('Análisis de Riesgos'!E424='Tablas AR'!$B$5,2,IF('Análisis de Riesgos'!E424='Tablas AR'!$B$6,3,"")))</f>
        <v/>
      </c>
      <c r="G424" s="25"/>
      <c r="H424" s="26" t="str">
        <f>IF(G424='Tablas AR'!$B$10,1,IF('Análisis de Riesgos'!G424='Tablas AR'!$B$11,2,IF('Análisis de Riesgos'!G424='Tablas AR'!$B$12,3,"")))</f>
        <v/>
      </c>
      <c r="I424" s="26" t="str">
        <f t="shared" si="6"/>
        <v/>
      </c>
    </row>
    <row r="425" spans="2:9" x14ac:dyDescent="0.25">
      <c r="B425" s="27" t="str">
        <f>IFERROR(INDEX(Activos!$B$3:$C$16, MATCH(C425,Activos!$B$3:$B$16),2),"")</f>
        <v/>
      </c>
      <c r="C425" s="27"/>
      <c r="D425" s="27"/>
      <c r="E425" s="25"/>
      <c r="F425" s="26" t="str">
        <f>IF(E425='Tablas AR'!$B$4,1,IF('Análisis de Riesgos'!E425='Tablas AR'!$B$5,2,IF('Análisis de Riesgos'!E425='Tablas AR'!$B$6,3,"")))</f>
        <v/>
      </c>
      <c r="G425" s="25"/>
      <c r="H425" s="26" t="str">
        <f>IF(G425='Tablas AR'!$B$10,1,IF('Análisis de Riesgos'!G425='Tablas AR'!$B$11,2,IF('Análisis de Riesgos'!G425='Tablas AR'!$B$12,3,"")))</f>
        <v/>
      </c>
      <c r="I425" s="26" t="str">
        <f t="shared" si="6"/>
        <v/>
      </c>
    </row>
    <row r="426" spans="2:9" x14ac:dyDescent="0.25">
      <c r="B426" s="27" t="str">
        <f>IFERROR(INDEX(Activos!$B$3:$C$16, MATCH(C426,Activos!$B$3:$B$16),2),"")</f>
        <v/>
      </c>
      <c r="C426" s="27"/>
      <c r="D426" s="27"/>
      <c r="E426" s="25"/>
      <c r="F426" s="26" t="str">
        <f>IF(E426='Tablas AR'!$B$4,1,IF('Análisis de Riesgos'!E426='Tablas AR'!$B$5,2,IF('Análisis de Riesgos'!E426='Tablas AR'!$B$6,3,"")))</f>
        <v/>
      </c>
      <c r="G426" s="25"/>
      <c r="H426" s="26" t="str">
        <f>IF(G426='Tablas AR'!$B$10,1,IF('Análisis de Riesgos'!G426='Tablas AR'!$B$11,2,IF('Análisis de Riesgos'!G426='Tablas AR'!$B$12,3,"")))</f>
        <v/>
      </c>
      <c r="I426" s="26" t="str">
        <f t="shared" si="6"/>
        <v/>
      </c>
    </row>
    <row r="427" spans="2:9" x14ac:dyDescent="0.25">
      <c r="B427" s="27" t="str">
        <f>IFERROR(INDEX(Activos!$B$3:$C$16, MATCH(C427,Activos!$B$3:$B$16),2),"")</f>
        <v/>
      </c>
      <c r="C427" s="27"/>
      <c r="D427" s="27"/>
      <c r="E427" s="25"/>
      <c r="F427" s="26" t="str">
        <f>IF(E427='Tablas AR'!$B$4,1,IF('Análisis de Riesgos'!E427='Tablas AR'!$B$5,2,IF('Análisis de Riesgos'!E427='Tablas AR'!$B$6,3,"")))</f>
        <v/>
      </c>
      <c r="G427" s="25"/>
      <c r="H427" s="26" t="str">
        <f>IF(G427='Tablas AR'!$B$10,1,IF('Análisis de Riesgos'!G427='Tablas AR'!$B$11,2,IF('Análisis de Riesgos'!G427='Tablas AR'!$B$12,3,"")))</f>
        <v/>
      </c>
      <c r="I427" s="26" t="str">
        <f t="shared" si="6"/>
        <v/>
      </c>
    </row>
    <row r="428" spans="2:9" x14ac:dyDescent="0.25">
      <c r="B428" s="27" t="str">
        <f>IFERROR(INDEX(Activos!$B$3:$C$16, MATCH(C428,Activos!$B$3:$B$16),2),"")</f>
        <v/>
      </c>
      <c r="C428" s="27"/>
      <c r="D428" s="27"/>
      <c r="E428" s="25"/>
      <c r="F428" s="26" t="str">
        <f>IF(E428='Tablas AR'!$B$4,1,IF('Análisis de Riesgos'!E428='Tablas AR'!$B$5,2,IF('Análisis de Riesgos'!E428='Tablas AR'!$B$6,3,"")))</f>
        <v/>
      </c>
      <c r="G428" s="25"/>
      <c r="H428" s="26" t="str">
        <f>IF(G428='Tablas AR'!$B$10,1,IF('Análisis de Riesgos'!G428='Tablas AR'!$B$11,2,IF('Análisis de Riesgos'!G428='Tablas AR'!$B$12,3,"")))</f>
        <v/>
      </c>
      <c r="I428" s="26" t="str">
        <f t="shared" si="6"/>
        <v/>
      </c>
    </row>
    <row r="429" spans="2:9" x14ac:dyDescent="0.25">
      <c r="B429" s="27" t="str">
        <f>IFERROR(INDEX(Activos!$B$3:$C$16, MATCH(C429,Activos!$B$3:$B$16),2),"")</f>
        <v/>
      </c>
      <c r="C429" s="27"/>
      <c r="D429" s="27"/>
      <c r="E429" s="25"/>
      <c r="F429" s="26" t="str">
        <f>IF(E429='Tablas AR'!$B$4,1,IF('Análisis de Riesgos'!E429='Tablas AR'!$B$5,2,IF('Análisis de Riesgos'!E429='Tablas AR'!$B$6,3,"")))</f>
        <v/>
      </c>
      <c r="G429" s="25"/>
      <c r="H429" s="26" t="str">
        <f>IF(G429='Tablas AR'!$B$10,1,IF('Análisis de Riesgos'!G429='Tablas AR'!$B$11,2,IF('Análisis de Riesgos'!G429='Tablas AR'!$B$12,3,"")))</f>
        <v/>
      </c>
      <c r="I429" s="26" t="str">
        <f t="shared" si="6"/>
        <v/>
      </c>
    </row>
    <row r="430" spans="2:9" x14ac:dyDescent="0.25">
      <c r="B430" s="27" t="str">
        <f>IFERROR(INDEX(Activos!$B$3:$C$16, MATCH(C430,Activos!$B$3:$B$16),2),"")</f>
        <v/>
      </c>
      <c r="C430" s="27"/>
      <c r="D430" s="27"/>
      <c r="E430" s="25"/>
      <c r="F430" s="26" t="str">
        <f>IF(E430='Tablas AR'!$B$4,1,IF('Análisis de Riesgos'!E430='Tablas AR'!$B$5,2,IF('Análisis de Riesgos'!E430='Tablas AR'!$B$6,3,"")))</f>
        <v/>
      </c>
      <c r="G430" s="25"/>
      <c r="H430" s="26" t="str">
        <f>IF(G430='Tablas AR'!$B$10,1,IF('Análisis de Riesgos'!G430='Tablas AR'!$B$11,2,IF('Análisis de Riesgos'!G430='Tablas AR'!$B$12,3,"")))</f>
        <v/>
      </c>
      <c r="I430" s="26" t="str">
        <f t="shared" si="6"/>
        <v/>
      </c>
    </row>
    <row r="431" spans="2:9" x14ac:dyDescent="0.25">
      <c r="B431" s="27" t="str">
        <f>IFERROR(INDEX(Activos!$B$3:$C$16, MATCH(C431,Activos!$B$3:$B$16),2),"")</f>
        <v/>
      </c>
      <c r="C431" s="27"/>
      <c r="D431" s="27"/>
      <c r="E431" s="25"/>
      <c r="F431" s="26" t="str">
        <f>IF(E431='Tablas AR'!$B$4,1,IF('Análisis de Riesgos'!E431='Tablas AR'!$B$5,2,IF('Análisis de Riesgos'!E431='Tablas AR'!$B$6,3,"")))</f>
        <v/>
      </c>
      <c r="G431" s="25"/>
      <c r="H431" s="26" t="str">
        <f>IF(G431='Tablas AR'!$B$10,1,IF('Análisis de Riesgos'!G431='Tablas AR'!$B$11,2,IF('Análisis de Riesgos'!G431='Tablas AR'!$B$12,3,"")))</f>
        <v/>
      </c>
      <c r="I431" s="26" t="str">
        <f t="shared" si="6"/>
        <v/>
      </c>
    </row>
    <row r="432" spans="2:9" x14ac:dyDescent="0.25">
      <c r="B432" s="27" t="str">
        <f>IFERROR(INDEX(Activos!$B$3:$C$16, MATCH(C432,Activos!$B$3:$B$16),2),"")</f>
        <v/>
      </c>
      <c r="C432" s="27"/>
      <c r="D432" s="27"/>
      <c r="E432" s="25"/>
      <c r="F432" s="26" t="str">
        <f>IF(E432='Tablas AR'!$B$4,1,IF('Análisis de Riesgos'!E432='Tablas AR'!$B$5,2,IF('Análisis de Riesgos'!E432='Tablas AR'!$B$6,3,"")))</f>
        <v/>
      </c>
      <c r="G432" s="25"/>
      <c r="H432" s="26" t="str">
        <f>IF(G432='Tablas AR'!$B$10,1,IF('Análisis de Riesgos'!G432='Tablas AR'!$B$11,2,IF('Análisis de Riesgos'!G432='Tablas AR'!$B$12,3,"")))</f>
        <v/>
      </c>
      <c r="I432" s="26" t="str">
        <f t="shared" si="6"/>
        <v/>
      </c>
    </row>
    <row r="433" spans="2:9" x14ac:dyDescent="0.25">
      <c r="B433" s="27" t="str">
        <f>IFERROR(INDEX(Activos!$B$3:$C$16, MATCH(C433,Activos!$B$3:$B$16),2),"")</f>
        <v/>
      </c>
      <c r="C433" s="27"/>
      <c r="D433" s="27"/>
      <c r="E433" s="25"/>
      <c r="F433" s="26" t="str">
        <f>IF(E433='Tablas AR'!$B$4,1,IF('Análisis de Riesgos'!E433='Tablas AR'!$B$5,2,IF('Análisis de Riesgos'!E433='Tablas AR'!$B$6,3,"")))</f>
        <v/>
      </c>
      <c r="G433" s="25"/>
      <c r="H433" s="26" t="str">
        <f>IF(G433='Tablas AR'!$B$10,1,IF('Análisis de Riesgos'!G433='Tablas AR'!$B$11,2,IF('Análisis de Riesgos'!G433='Tablas AR'!$B$12,3,"")))</f>
        <v/>
      </c>
      <c r="I433" s="26" t="str">
        <f t="shared" si="6"/>
        <v/>
      </c>
    </row>
    <row r="434" spans="2:9" x14ac:dyDescent="0.25">
      <c r="B434" s="27" t="str">
        <f>IFERROR(INDEX(Activos!$B$3:$C$16, MATCH(C434,Activos!$B$3:$B$16),2),"")</f>
        <v/>
      </c>
      <c r="C434" s="27"/>
      <c r="D434" s="27"/>
      <c r="E434" s="25"/>
      <c r="F434" s="26" t="str">
        <f>IF(E434='Tablas AR'!$B$4,1,IF('Análisis de Riesgos'!E434='Tablas AR'!$B$5,2,IF('Análisis de Riesgos'!E434='Tablas AR'!$B$6,3,"")))</f>
        <v/>
      </c>
      <c r="G434" s="25"/>
      <c r="H434" s="26" t="str">
        <f>IF(G434='Tablas AR'!$B$10,1,IF('Análisis de Riesgos'!G434='Tablas AR'!$B$11,2,IF('Análisis de Riesgos'!G434='Tablas AR'!$B$12,3,"")))</f>
        <v/>
      </c>
      <c r="I434" s="26" t="str">
        <f t="shared" si="6"/>
        <v/>
      </c>
    </row>
    <row r="435" spans="2:9" x14ac:dyDescent="0.25">
      <c r="B435" s="27" t="str">
        <f>IFERROR(INDEX(Activos!$B$3:$C$16, MATCH(C435,Activos!$B$3:$B$16),2),"")</f>
        <v/>
      </c>
      <c r="C435" s="27"/>
      <c r="D435" s="27"/>
      <c r="E435" s="25"/>
      <c r="F435" s="26" t="str">
        <f>IF(E435='Tablas AR'!$B$4,1,IF('Análisis de Riesgos'!E435='Tablas AR'!$B$5,2,IF('Análisis de Riesgos'!E435='Tablas AR'!$B$6,3,"")))</f>
        <v/>
      </c>
      <c r="G435" s="25"/>
      <c r="H435" s="26" t="str">
        <f>IF(G435='Tablas AR'!$B$10,1,IF('Análisis de Riesgos'!G435='Tablas AR'!$B$11,2,IF('Análisis de Riesgos'!G435='Tablas AR'!$B$12,3,"")))</f>
        <v/>
      </c>
      <c r="I435" s="26" t="str">
        <f t="shared" si="6"/>
        <v/>
      </c>
    </row>
    <row r="436" spans="2:9" x14ac:dyDescent="0.25">
      <c r="B436" s="27" t="str">
        <f>IFERROR(INDEX(Activos!$B$3:$C$16, MATCH(C436,Activos!$B$3:$B$16),2),"")</f>
        <v/>
      </c>
      <c r="C436" s="27"/>
      <c r="D436" s="27"/>
      <c r="E436" s="25"/>
      <c r="F436" s="26" t="str">
        <f>IF(E436='Tablas AR'!$B$4,1,IF('Análisis de Riesgos'!E436='Tablas AR'!$B$5,2,IF('Análisis de Riesgos'!E436='Tablas AR'!$B$6,3,"")))</f>
        <v/>
      </c>
      <c r="G436" s="25"/>
      <c r="H436" s="26" t="str">
        <f>IF(G436='Tablas AR'!$B$10,1,IF('Análisis de Riesgos'!G436='Tablas AR'!$B$11,2,IF('Análisis de Riesgos'!G436='Tablas AR'!$B$12,3,"")))</f>
        <v/>
      </c>
      <c r="I436" s="26" t="str">
        <f t="shared" si="6"/>
        <v/>
      </c>
    </row>
    <row r="437" spans="2:9" x14ac:dyDescent="0.25">
      <c r="B437" s="27" t="str">
        <f>IFERROR(INDEX(Activos!$B$3:$C$16, MATCH(C437,Activos!$B$3:$B$16),2),"")</f>
        <v/>
      </c>
      <c r="C437" s="27"/>
      <c r="D437" s="27"/>
      <c r="E437" s="25"/>
      <c r="F437" s="26" t="str">
        <f>IF(E437='Tablas AR'!$B$4,1,IF('Análisis de Riesgos'!E437='Tablas AR'!$B$5,2,IF('Análisis de Riesgos'!E437='Tablas AR'!$B$6,3,"")))</f>
        <v/>
      </c>
      <c r="G437" s="25"/>
      <c r="H437" s="26" t="str">
        <f>IF(G437='Tablas AR'!$B$10,1,IF('Análisis de Riesgos'!G437='Tablas AR'!$B$11,2,IF('Análisis de Riesgos'!G437='Tablas AR'!$B$12,3,"")))</f>
        <v/>
      </c>
      <c r="I437" s="26" t="str">
        <f t="shared" si="6"/>
        <v/>
      </c>
    </row>
    <row r="438" spans="2:9" x14ac:dyDescent="0.25">
      <c r="B438" s="27" t="str">
        <f>IFERROR(INDEX(Activos!$B$3:$C$16, MATCH(C438,Activos!$B$3:$B$16),2),"")</f>
        <v/>
      </c>
      <c r="C438" s="27"/>
      <c r="D438" s="27"/>
      <c r="E438" s="25"/>
      <c r="F438" s="26" t="str">
        <f>IF(E438='Tablas AR'!$B$4,1,IF('Análisis de Riesgos'!E438='Tablas AR'!$B$5,2,IF('Análisis de Riesgos'!E438='Tablas AR'!$B$6,3,"")))</f>
        <v/>
      </c>
      <c r="G438" s="25"/>
      <c r="H438" s="26" t="str">
        <f>IF(G438='Tablas AR'!$B$10,1,IF('Análisis de Riesgos'!G438='Tablas AR'!$B$11,2,IF('Análisis de Riesgos'!G438='Tablas AR'!$B$12,3,"")))</f>
        <v/>
      </c>
      <c r="I438" s="26" t="str">
        <f t="shared" si="6"/>
        <v/>
      </c>
    </row>
    <row r="439" spans="2:9" x14ac:dyDescent="0.25">
      <c r="B439" s="27" t="str">
        <f>IFERROR(INDEX(Activos!$B$3:$C$16, MATCH(C439,Activos!$B$3:$B$16),2),"")</f>
        <v/>
      </c>
      <c r="C439" s="27"/>
      <c r="D439" s="27"/>
      <c r="E439" s="25"/>
      <c r="F439" s="26" t="str">
        <f>IF(E439='Tablas AR'!$B$4,1,IF('Análisis de Riesgos'!E439='Tablas AR'!$B$5,2,IF('Análisis de Riesgos'!E439='Tablas AR'!$B$6,3,"")))</f>
        <v/>
      </c>
      <c r="G439" s="25"/>
      <c r="H439" s="26" t="str">
        <f>IF(G439='Tablas AR'!$B$10,1,IF('Análisis de Riesgos'!G439='Tablas AR'!$B$11,2,IF('Análisis de Riesgos'!G439='Tablas AR'!$B$12,3,"")))</f>
        <v/>
      </c>
      <c r="I439" s="26" t="str">
        <f t="shared" si="6"/>
        <v/>
      </c>
    </row>
    <row r="440" spans="2:9" x14ac:dyDescent="0.25">
      <c r="B440" s="27" t="str">
        <f>IFERROR(INDEX(Activos!$B$3:$C$16, MATCH(C440,Activos!$B$3:$B$16),2),"")</f>
        <v/>
      </c>
      <c r="C440" s="27"/>
      <c r="D440" s="27"/>
      <c r="E440" s="25"/>
      <c r="F440" s="26" t="str">
        <f>IF(E440='Tablas AR'!$B$4,1,IF('Análisis de Riesgos'!E440='Tablas AR'!$B$5,2,IF('Análisis de Riesgos'!E440='Tablas AR'!$B$6,3,"")))</f>
        <v/>
      </c>
      <c r="G440" s="25"/>
      <c r="H440" s="26" t="str">
        <f>IF(G440='Tablas AR'!$B$10,1,IF('Análisis de Riesgos'!G440='Tablas AR'!$B$11,2,IF('Análisis de Riesgos'!G440='Tablas AR'!$B$12,3,"")))</f>
        <v/>
      </c>
      <c r="I440" s="26" t="str">
        <f t="shared" si="6"/>
        <v/>
      </c>
    </row>
    <row r="441" spans="2:9" x14ac:dyDescent="0.25">
      <c r="B441" s="27" t="str">
        <f>IFERROR(INDEX(Activos!$B$3:$C$16, MATCH(C441,Activos!$B$3:$B$16),2),"")</f>
        <v/>
      </c>
      <c r="C441" s="27"/>
      <c r="D441" s="27"/>
      <c r="E441" s="25"/>
      <c r="F441" s="26" t="str">
        <f>IF(E441='Tablas AR'!$B$4,1,IF('Análisis de Riesgos'!E441='Tablas AR'!$B$5,2,IF('Análisis de Riesgos'!E441='Tablas AR'!$B$6,3,"")))</f>
        <v/>
      </c>
      <c r="G441" s="25"/>
      <c r="H441" s="26" t="str">
        <f>IF(G441='Tablas AR'!$B$10,1,IF('Análisis de Riesgos'!G441='Tablas AR'!$B$11,2,IF('Análisis de Riesgos'!G441='Tablas AR'!$B$12,3,"")))</f>
        <v/>
      </c>
      <c r="I441" s="26" t="str">
        <f t="shared" si="6"/>
        <v/>
      </c>
    </row>
    <row r="442" spans="2:9" x14ac:dyDescent="0.25">
      <c r="B442" s="27" t="str">
        <f>IFERROR(INDEX(Activos!$B$3:$C$16, MATCH(C442,Activos!$B$3:$B$16),2),"")</f>
        <v/>
      </c>
      <c r="C442" s="27"/>
      <c r="D442" s="27"/>
      <c r="E442" s="25"/>
      <c r="F442" s="26" t="str">
        <f>IF(E442='Tablas AR'!$B$4,1,IF('Análisis de Riesgos'!E442='Tablas AR'!$B$5,2,IF('Análisis de Riesgos'!E442='Tablas AR'!$B$6,3,"")))</f>
        <v/>
      </c>
      <c r="G442" s="25"/>
      <c r="H442" s="26" t="str">
        <f>IF(G442='Tablas AR'!$B$10,1,IF('Análisis de Riesgos'!G442='Tablas AR'!$B$11,2,IF('Análisis de Riesgos'!G442='Tablas AR'!$B$12,3,"")))</f>
        <v/>
      </c>
      <c r="I442" s="26" t="str">
        <f t="shared" si="6"/>
        <v/>
      </c>
    </row>
    <row r="443" spans="2:9" x14ac:dyDescent="0.25">
      <c r="B443" s="27" t="str">
        <f>IFERROR(INDEX(Activos!$B$3:$C$16, MATCH(C443,Activos!$B$3:$B$16),2),"")</f>
        <v/>
      </c>
      <c r="C443" s="27"/>
      <c r="D443" s="27"/>
      <c r="E443" s="25"/>
      <c r="F443" s="26" t="str">
        <f>IF(E443='Tablas AR'!$B$4,1,IF('Análisis de Riesgos'!E443='Tablas AR'!$B$5,2,IF('Análisis de Riesgos'!E443='Tablas AR'!$B$6,3,"")))</f>
        <v/>
      </c>
      <c r="G443" s="25"/>
      <c r="H443" s="26" t="str">
        <f>IF(G443='Tablas AR'!$B$10,1,IF('Análisis de Riesgos'!G443='Tablas AR'!$B$11,2,IF('Análisis de Riesgos'!G443='Tablas AR'!$B$12,3,"")))</f>
        <v/>
      </c>
      <c r="I443" s="26" t="str">
        <f t="shared" si="6"/>
        <v/>
      </c>
    </row>
    <row r="444" spans="2:9" x14ac:dyDescent="0.25">
      <c r="B444" s="27" t="str">
        <f>IFERROR(INDEX(Activos!$B$3:$C$16, MATCH(C444,Activos!$B$3:$B$16),2),"")</f>
        <v/>
      </c>
      <c r="C444" s="27"/>
      <c r="D444" s="27"/>
      <c r="E444" s="25"/>
      <c r="F444" s="26" t="str">
        <f>IF(E444='Tablas AR'!$B$4,1,IF('Análisis de Riesgos'!E444='Tablas AR'!$B$5,2,IF('Análisis de Riesgos'!E444='Tablas AR'!$B$6,3,"")))</f>
        <v/>
      </c>
      <c r="G444" s="25"/>
      <c r="H444" s="26" t="str">
        <f>IF(G444='Tablas AR'!$B$10,1,IF('Análisis de Riesgos'!G444='Tablas AR'!$B$11,2,IF('Análisis de Riesgos'!G444='Tablas AR'!$B$12,3,"")))</f>
        <v/>
      </c>
      <c r="I444" s="26" t="str">
        <f t="shared" si="6"/>
        <v/>
      </c>
    </row>
    <row r="445" spans="2:9" x14ac:dyDescent="0.25">
      <c r="B445" s="27" t="str">
        <f>IFERROR(INDEX(Activos!$B$3:$C$16, MATCH(C445,Activos!$B$3:$B$16),2),"")</f>
        <v/>
      </c>
      <c r="C445" s="27"/>
      <c r="D445" s="27"/>
      <c r="E445" s="25"/>
      <c r="F445" s="26" t="str">
        <f>IF(E445='Tablas AR'!$B$4,1,IF('Análisis de Riesgos'!E445='Tablas AR'!$B$5,2,IF('Análisis de Riesgos'!E445='Tablas AR'!$B$6,3,"")))</f>
        <v/>
      </c>
      <c r="G445" s="25"/>
      <c r="H445" s="26" t="str">
        <f>IF(G445='Tablas AR'!$B$10,1,IF('Análisis de Riesgos'!G445='Tablas AR'!$B$11,2,IF('Análisis de Riesgos'!G445='Tablas AR'!$B$12,3,"")))</f>
        <v/>
      </c>
      <c r="I445" s="26" t="str">
        <f t="shared" si="6"/>
        <v/>
      </c>
    </row>
    <row r="446" spans="2:9" x14ac:dyDescent="0.25">
      <c r="B446" s="27" t="str">
        <f>IFERROR(INDEX(Activos!$B$3:$C$16, MATCH(C446,Activos!$B$3:$B$16),2),"")</f>
        <v/>
      </c>
      <c r="C446" s="27"/>
      <c r="D446" s="27"/>
      <c r="E446" s="25"/>
      <c r="F446" s="26" t="str">
        <f>IF(E446='Tablas AR'!$B$4,1,IF('Análisis de Riesgos'!E446='Tablas AR'!$B$5,2,IF('Análisis de Riesgos'!E446='Tablas AR'!$B$6,3,"")))</f>
        <v/>
      </c>
      <c r="G446" s="25"/>
      <c r="H446" s="26" t="str">
        <f>IF(G446='Tablas AR'!$B$10,1,IF('Análisis de Riesgos'!G446='Tablas AR'!$B$11,2,IF('Análisis de Riesgos'!G446='Tablas AR'!$B$12,3,"")))</f>
        <v/>
      </c>
      <c r="I446" s="26" t="str">
        <f t="shared" si="6"/>
        <v/>
      </c>
    </row>
    <row r="447" spans="2:9" x14ac:dyDescent="0.25">
      <c r="B447" s="27" t="str">
        <f>IFERROR(INDEX(Activos!$B$3:$C$16, MATCH(C447,Activos!$B$3:$B$16),2),"")</f>
        <v/>
      </c>
      <c r="C447" s="27"/>
      <c r="D447" s="27"/>
      <c r="E447" s="25"/>
      <c r="F447" s="26" t="str">
        <f>IF(E447='Tablas AR'!$B$4,1,IF('Análisis de Riesgos'!E447='Tablas AR'!$B$5,2,IF('Análisis de Riesgos'!E447='Tablas AR'!$B$6,3,"")))</f>
        <v/>
      </c>
      <c r="G447" s="25"/>
      <c r="H447" s="26" t="str">
        <f>IF(G447='Tablas AR'!$B$10,1,IF('Análisis de Riesgos'!G447='Tablas AR'!$B$11,2,IF('Análisis de Riesgos'!G447='Tablas AR'!$B$12,3,"")))</f>
        <v/>
      </c>
      <c r="I447" s="26" t="str">
        <f t="shared" si="6"/>
        <v/>
      </c>
    </row>
    <row r="448" spans="2:9" x14ac:dyDescent="0.25">
      <c r="B448" s="27" t="str">
        <f>IFERROR(INDEX(Activos!$B$3:$C$16, MATCH(C448,Activos!$B$3:$B$16),2),"")</f>
        <v/>
      </c>
      <c r="C448" s="27"/>
      <c r="D448" s="27"/>
      <c r="E448" s="25"/>
      <c r="F448" s="26" t="str">
        <f>IF(E448='Tablas AR'!$B$4,1,IF('Análisis de Riesgos'!E448='Tablas AR'!$B$5,2,IF('Análisis de Riesgos'!E448='Tablas AR'!$B$6,3,"")))</f>
        <v/>
      </c>
      <c r="G448" s="25"/>
      <c r="H448" s="26" t="str">
        <f>IF(G448='Tablas AR'!$B$10,1,IF('Análisis de Riesgos'!G448='Tablas AR'!$B$11,2,IF('Análisis de Riesgos'!G448='Tablas AR'!$B$12,3,"")))</f>
        <v/>
      </c>
      <c r="I448" s="26" t="str">
        <f t="shared" si="6"/>
        <v/>
      </c>
    </row>
    <row r="449" spans="2:9" x14ac:dyDescent="0.25">
      <c r="B449" s="27" t="str">
        <f>IFERROR(INDEX(Activos!$B$3:$C$16, MATCH(C449,Activos!$B$3:$B$16),2),"")</f>
        <v/>
      </c>
      <c r="C449" s="27"/>
      <c r="D449" s="27"/>
      <c r="E449" s="25"/>
      <c r="F449" s="26" t="str">
        <f>IF(E449='Tablas AR'!$B$4,1,IF('Análisis de Riesgos'!E449='Tablas AR'!$B$5,2,IF('Análisis de Riesgos'!E449='Tablas AR'!$B$6,3,"")))</f>
        <v/>
      </c>
      <c r="G449" s="25"/>
      <c r="H449" s="26" t="str">
        <f>IF(G449='Tablas AR'!$B$10,1,IF('Análisis de Riesgos'!G449='Tablas AR'!$B$11,2,IF('Análisis de Riesgos'!G449='Tablas AR'!$B$12,3,"")))</f>
        <v/>
      </c>
      <c r="I449" s="26" t="str">
        <f t="shared" si="6"/>
        <v/>
      </c>
    </row>
    <row r="450" spans="2:9" x14ac:dyDescent="0.25">
      <c r="B450" s="27" t="str">
        <f>IFERROR(INDEX(Activos!$B$3:$C$16, MATCH(C450,Activos!$B$3:$B$16),2),"")</f>
        <v/>
      </c>
      <c r="C450" s="27"/>
      <c r="D450" s="27"/>
      <c r="E450" s="25"/>
      <c r="F450" s="26" t="str">
        <f>IF(E450='Tablas AR'!$B$4,1,IF('Análisis de Riesgos'!E450='Tablas AR'!$B$5,2,IF('Análisis de Riesgos'!E450='Tablas AR'!$B$6,3,"")))</f>
        <v/>
      </c>
      <c r="G450" s="25"/>
      <c r="H450" s="26" t="str">
        <f>IF(G450='Tablas AR'!$B$10,1,IF('Análisis de Riesgos'!G450='Tablas AR'!$B$11,2,IF('Análisis de Riesgos'!G450='Tablas AR'!$B$12,3,"")))</f>
        <v/>
      </c>
      <c r="I450" s="26" t="str">
        <f t="shared" si="6"/>
        <v/>
      </c>
    </row>
    <row r="451" spans="2:9" x14ac:dyDescent="0.25">
      <c r="B451" s="27" t="str">
        <f>IFERROR(INDEX(Activos!$B$3:$C$16, MATCH(C451,Activos!$B$3:$B$16),2),"")</f>
        <v/>
      </c>
      <c r="C451" s="27"/>
      <c r="D451" s="27"/>
      <c r="E451" s="25"/>
      <c r="F451" s="26" t="str">
        <f>IF(E451='Tablas AR'!$B$4,1,IF('Análisis de Riesgos'!E451='Tablas AR'!$B$5,2,IF('Análisis de Riesgos'!E451='Tablas AR'!$B$6,3,"")))</f>
        <v/>
      </c>
      <c r="G451" s="25"/>
      <c r="H451" s="26" t="str">
        <f>IF(G451='Tablas AR'!$B$10,1,IF('Análisis de Riesgos'!G451='Tablas AR'!$B$11,2,IF('Análisis de Riesgos'!G451='Tablas AR'!$B$12,3,"")))</f>
        <v/>
      </c>
      <c r="I451" s="26" t="str">
        <f t="shared" si="6"/>
        <v/>
      </c>
    </row>
    <row r="452" spans="2:9" x14ac:dyDescent="0.25">
      <c r="B452" s="27" t="str">
        <f>IFERROR(INDEX(Activos!$B$3:$C$16, MATCH(C452,Activos!$B$3:$B$16),2),"")</f>
        <v/>
      </c>
      <c r="C452" s="27"/>
      <c r="D452" s="27"/>
      <c r="E452" s="25"/>
      <c r="F452" s="26" t="str">
        <f>IF(E452='Tablas AR'!$B$4,1,IF('Análisis de Riesgos'!E452='Tablas AR'!$B$5,2,IF('Análisis de Riesgos'!E452='Tablas AR'!$B$6,3,"")))</f>
        <v/>
      </c>
      <c r="G452" s="25"/>
      <c r="H452" s="26" t="str">
        <f>IF(G452='Tablas AR'!$B$10,1,IF('Análisis de Riesgos'!G452='Tablas AR'!$B$11,2,IF('Análisis de Riesgos'!G452='Tablas AR'!$B$12,3,"")))</f>
        <v/>
      </c>
      <c r="I452" s="26" t="str">
        <f t="shared" ref="I452:I515" si="7" xml:space="preserve"> IFERROR(F452*H452,"")</f>
        <v/>
      </c>
    </row>
    <row r="453" spans="2:9" x14ac:dyDescent="0.25">
      <c r="B453" s="27" t="str">
        <f>IFERROR(INDEX(Activos!$B$3:$C$16, MATCH(C453,Activos!$B$3:$B$16),2),"")</f>
        <v/>
      </c>
      <c r="C453" s="27"/>
      <c r="D453" s="27"/>
      <c r="E453" s="25"/>
      <c r="F453" s="26" t="str">
        <f>IF(E453='Tablas AR'!$B$4,1,IF('Análisis de Riesgos'!E453='Tablas AR'!$B$5,2,IF('Análisis de Riesgos'!E453='Tablas AR'!$B$6,3,"")))</f>
        <v/>
      </c>
      <c r="G453" s="25"/>
      <c r="H453" s="26" t="str">
        <f>IF(G453='Tablas AR'!$B$10,1,IF('Análisis de Riesgos'!G453='Tablas AR'!$B$11,2,IF('Análisis de Riesgos'!G453='Tablas AR'!$B$12,3,"")))</f>
        <v/>
      </c>
      <c r="I453" s="26" t="str">
        <f t="shared" si="7"/>
        <v/>
      </c>
    </row>
    <row r="454" spans="2:9" x14ac:dyDescent="0.25">
      <c r="B454" s="27" t="str">
        <f>IFERROR(INDEX(Activos!$B$3:$C$16, MATCH(C454,Activos!$B$3:$B$16),2),"")</f>
        <v/>
      </c>
      <c r="C454" s="27"/>
      <c r="D454" s="27"/>
      <c r="E454" s="25"/>
      <c r="F454" s="26" t="str">
        <f>IF(E454='Tablas AR'!$B$4,1,IF('Análisis de Riesgos'!E454='Tablas AR'!$B$5,2,IF('Análisis de Riesgos'!E454='Tablas AR'!$B$6,3,"")))</f>
        <v/>
      </c>
      <c r="G454" s="25"/>
      <c r="H454" s="26" t="str">
        <f>IF(G454='Tablas AR'!$B$10,1,IF('Análisis de Riesgos'!G454='Tablas AR'!$B$11,2,IF('Análisis de Riesgos'!G454='Tablas AR'!$B$12,3,"")))</f>
        <v/>
      </c>
      <c r="I454" s="26" t="str">
        <f t="shared" si="7"/>
        <v/>
      </c>
    </row>
    <row r="455" spans="2:9" x14ac:dyDescent="0.25">
      <c r="B455" s="27" t="str">
        <f>IFERROR(INDEX(Activos!$B$3:$C$16, MATCH(C455,Activos!$B$3:$B$16),2),"")</f>
        <v/>
      </c>
      <c r="C455" s="27"/>
      <c r="D455" s="27"/>
      <c r="E455" s="25"/>
      <c r="F455" s="26" t="str">
        <f>IF(E455='Tablas AR'!$B$4,1,IF('Análisis de Riesgos'!E455='Tablas AR'!$B$5,2,IF('Análisis de Riesgos'!E455='Tablas AR'!$B$6,3,"")))</f>
        <v/>
      </c>
      <c r="G455" s="25"/>
      <c r="H455" s="26" t="str">
        <f>IF(G455='Tablas AR'!$B$10,1,IF('Análisis de Riesgos'!G455='Tablas AR'!$B$11,2,IF('Análisis de Riesgos'!G455='Tablas AR'!$B$12,3,"")))</f>
        <v/>
      </c>
      <c r="I455" s="26" t="str">
        <f t="shared" si="7"/>
        <v/>
      </c>
    </row>
    <row r="456" spans="2:9" x14ac:dyDescent="0.25">
      <c r="B456" s="27" t="str">
        <f>IFERROR(INDEX(Activos!$B$3:$C$16, MATCH(C456,Activos!$B$3:$B$16),2),"")</f>
        <v/>
      </c>
      <c r="C456" s="27"/>
      <c r="D456" s="27"/>
      <c r="E456" s="25"/>
      <c r="F456" s="26" t="str">
        <f>IF(E456='Tablas AR'!$B$4,1,IF('Análisis de Riesgos'!E456='Tablas AR'!$B$5,2,IF('Análisis de Riesgos'!E456='Tablas AR'!$B$6,3,"")))</f>
        <v/>
      </c>
      <c r="G456" s="25"/>
      <c r="H456" s="26" t="str">
        <f>IF(G456='Tablas AR'!$B$10,1,IF('Análisis de Riesgos'!G456='Tablas AR'!$B$11,2,IF('Análisis de Riesgos'!G456='Tablas AR'!$B$12,3,"")))</f>
        <v/>
      </c>
      <c r="I456" s="26" t="str">
        <f t="shared" si="7"/>
        <v/>
      </c>
    </row>
    <row r="457" spans="2:9" x14ac:dyDescent="0.25">
      <c r="B457" s="27" t="str">
        <f>IFERROR(INDEX(Activos!$B$3:$C$16, MATCH(C457,Activos!$B$3:$B$16),2),"")</f>
        <v/>
      </c>
      <c r="C457" s="27"/>
      <c r="D457" s="27"/>
      <c r="E457" s="25"/>
      <c r="F457" s="26" t="str">
        <f>IF(E457='Tablas AR'!$B$4,1,IF('Análisis de Riesgos'!E457='Tablas AR'!$B$5,2,IF('Análisis de Riesgos'!E457='Tablas AR'!$B$6,3,"")))</f>
        <v/>
      </c>
      <c r="G457" s="25"/>
      <c r="H457" s="26" t="str">
        <f>IF(G457='Tablas AR'!$B$10,1,IF('Análisis de Riesgos'!G457='Tablas AR'!$B$11,2,IF('Análisis de Riesgos'!G457='Tablas AR'!$B$12,3,"")))</f>
        <v/>
      </c>
      <c r="I457" s="26" t="str">
        <f t="shared" si="7"/>
        <v/>
      </c>
    </row>
    <row r="458" spans="2:9" x14ac:dyDescent="0.25">
      <c r="B458" s="27" t="str">
        <f>IFERROR(INDEX(Activos!$B$3:$C$16, MATCH(C458,Activos!$B$3:$B$16),2),"")</f>
        <v/>
      </c>
      <c r="C458" s="27"/>
      <c r="D458" s="27"/>
      <c r="E458" s="25"/>
      <c r="F458" s="26" t="str">
        <f>IF(E458='Tablas AR'!$B$4,1,IF('Análisis de Riesgos'!E458='Tablas AR'!$B$5,2,IF('Análisis de Riesgos'!E458='Tablas AR'!$B$6,3,"")))</f>
        <v/>
      </c>
      <c r="G458" s="25"/>
      <c r="H458" s="26" t="str">
        <f>IF(G458='Tablas AR'!$B$10,1,IF('Análisis de Riesgos'!G458='Tablas AR'!$B$11,2,IF('Análisis de Riesgos'!G458='Tablas AR'!$B$12,3,"")))</f>
        <v/>
      </c>
      <c r="I458" s="26" t="str">
        <f t="shared" si="7"/>
        <v/>
      </c>
    </row>
    <row r="459" spans="2:9" x14ac:dyDescent="0.25">
      <c r="B459" s="27" t="str">
        <f>IFERROR(INDEX(Activos!$B$3:$C$16, MATCH(C459,Activos!$B$3:$B$16),2),"")</f>
        <v/>
      </c>
      <c r="C459" s="27"/>
      <c r="D459" s="27"/>
      <c r="E459" s="25"/>
      <c r="F459" s="26" t="str">
        <f>IF(E459='Tablas AR'!$B$4,1,IF('Análisis de Riesgos'!E459='Tablas AR'!$B$5,2,IF('Análisis de Riesgos'!E459='Tablas AR'!$B$6,3,"")))</f>
        <v/>
      </c>
      <c r="G459" s="25"/>
      <c r="H459" s="26" t="str">
        <f>IF(G459='Tablas AR'!$B$10,1,IF('Análisis de Riesgos'!G459='Tablas AR'!$B$11,2,IF('Análisis de Riesgos'!G459='Tablas AR'!$B$12,3,"")))</f>
        <v/>
      </c>
      <c r="I459" s="26" t="str">
        <f t="shared" si="7"/>
        <v/>
      </c>
    </row>
    <row r="460" spans="2:9" x14ac:dyDescent="0.25">
      <c r="B460" s="27" t="str">
        <f>IFERROR(INDEX(Activos!$B$3:$C$16, MATCH(C460,Activos!$B$3:$B$16),2),"")</f>
        <v/>
      </c>
      <c r="C460" s="27"/>
      <c r="D460" s="27"/>
      <c r="E460" s="25"/>
      <c r="F460" s="26" t="str">
        <f>IF(E460='Tablas AR'!$B$4,1,IF('Análisis de Riesgos'!E460='Tablas AR'!$B$5,2,IF('Análisis de Riesgos'!E460='Tablas AR'!$B$6,3,"")))</f>
        <v/>
      </c>
      <c r="G460" s="25"/>
      <c r="H460" s="26" t="str">
        <f>IF(G460='Tablas AR'!$B$10,1,IF('Análisis de Riesgos'!G460='Tablas AR'!$B$11,2,IF('Análisis de Riesgos'!G460='Tablas AR'!$B$12,3,"")))</f>
        <v/>
      </c>
      <c r="I460" s="26" t="str">
        <f t="shared" si="7"/>
        <v/>
      </c>
    </row>
    <row r="461" spans="2:9" x14ac:dyDescent="0.25">
      <c r="B461" s="27" t="str">
        <f>IFERROR(INDEX(Activos!$B$3:$C$16, MATCH(C461,Activos!$B$3:$B$16),2),"")</f>
        <v/>
      </c>
      <c r="C461" s="27"/>
      <c r="D461" s="27"/>
      <c r="E461" s="25"/>
      <c r="F461" s="26" t="str">
        <f>IF(E461='Tablas AR'!$B$4,1,IF('Análisis de Riesgos'!E461='Tablas AR'!$B$5,2,IF('Análisis de Riesgos'!E461='Tablas AR'!$B$6,3,"")))</f>
        <v/>
      </c>
      <c r="G461" s="25"/>
      <c r="H461" s="26" t="str">
        <f>IF(G461='Tablas AR'!$B$10,1,IF('Análisis de Riesgos'!G461='Tablas AR'!$B$11,2,IF('Análisis de Riesgos'!G461='Tablas AR'!$B$12,3,"")))</f>
        <v/>
      </c>
      <c r="I461" s="26" t="str">
        <f t="shared" si="7"/>
        <v/>
      </c>
    </row>
    <row r="462" spans="2:9" x14ac:dyDescent="0.25">
      <c r="B462" s="27" t="str">
        <f>IFERROR(INDEX(Activos!$B$3:$C$16, MATCH(C462,Activos!$B$3:$B$16),2),"")</f>
        <v/>
      </c>
      <c r="C462" s="27"/>
      <c r="D462" s="27"/>
      <c r="E462" s="25"/>
      <c r="F462" s="26" t="str">
        <f>IF(E462='Tablas AR'!$B$4,1,IF('Análisis de Riesgos'!E462='Tablas AR'!$B$5,2,IF('Análisis de Riesgos'!E462='Tablas AR'!$B$6,3,"")))</f>
        <v/>
      </c>
      <c r="G462" s="25"/>
      <c r="H462" s="26" t="str">
        <f>IF(G462='Tablas AR'!$B$10,1,IF('Análisis de Riesgos'!G462='Tablas AR'!$B$11,2,IF('Análisis de Riesgos'!G462='Tablas AR'!$B$12,3,"")))</f>
        <v/>
      </c>
      <c r="I462" s="26" t="str">
        <f t="shared" si="7"/>
        <v/>
      </c>
    </row>
    <row r="463" spans="2:9" x14ac:dyDescent="0.25">
      <c r="B463" s="27" t="str">
        <f>IFERROR(INDEX(Activos!$B$3:$C$16, MATCH(C463,Activos!$B$3:$B$16),2),"")</f>
        <v/>
      </c>
      <c r="C463" s="27"/>
      <c r="D463" s="27"/>
      <c r="E463" s="25"/>
      <c r="F463" s="26" t="str">
        <f>IF(E463='Tablas AR'!$B$4,1,IF('Análisis de Riesgos'!E463='Tablas AR'!$B$5,2,IF('Análisis de Riesgos'!E463='Tablas AR'!$B$6,3,"")))</f>
        <v/>
      </c>
      <c r="G463" s="25"/>
      <c r="H463" s="26" t="str">
        <f>IF(G463='Tablas AR'!$B$10,1,IF('Análisis de Riesgos'!G463='Tablas AR'!$B$11,2,IF('Análisis de Riesgos'!G463='Tablas AR'!$B$12,3,"")))</f>
        <v/>
      </c>
      <c r="I463" s="26" t="str">
        <f t="shared" si="7"/>
        <v/>
      </c>
    </row>
    <row r="464" spans="2:9" x14ac:dyDescent="0.25">
      <c r="B464" s="27" t="str">
        <f>IFERROR(INDEX(Activos!$B$3:$C$16, MATCH(C464,Activos!$B$3:$B$16),2),"")</f>
        <v/>
      </c>
      <c r="C464" s="27"/>
      <c r="D464" s="27"/>
      <c r="E464" s="25"/>
      <c r="F464" s="26" t="str">
        <f>IF(E464='Tablas AR'!$B$4,1,IF('Análisis de Riesgos'!E464='Tablas AR'!$B$5,2,IF('Análisis de Riesgos'!E464='Tablas AR'!$B$6,3,"")))</f>
        <v/>
      </c>
      <c r="G464" s="25"/>
      <c r="H464" s="26" t="str">
        <f>IF(G464='Tablas AR'!$B$10,1,IF('Análisis de Riesgos'!G464='Tablas AR'!$B$11,2,IF('Análisis de Riesgos'!G464='Tablas AR'!$B$12,3,"")))</f>
        <v/>
      </c>
      <c r="I464" s="26" t="str">
        <f t="shared" si="7"/>
        <v/>
      </c>
    </row>
    <row r="465" spans="2:9" x14ac:dyDescent="0.25">
      <c r="B465" s="27" t="str">
        <f>IFERROR(INDEX(Activos!$B$3:$C$16, MATCH(C465,Activos!$B$3:$B$16),2),"")</f>
        <v/>
      </c>
      <c r="C465" s="27"/>
      <c r="D465" s="27"/>
      <c r="E465" s="25"/>
      <c r="F465" s="26" t="str">
        <f>IF(E465='Tablas AR'!$B$4,1,IF('Análisis de Riesgos'!E465='Tablas AR'!$B$5,2,IF('Análisis de Riesgos'!E465='Tablas AR'!$B$6,3,"")))</f>
        <v/>
      </c>
      <c r="G465" s="25"/>
      <c r="H465" s="26" t="str">
        <f>IF(G465='Tablas AR'!$B$10,1,IF('Análisis de Riesgos'!G465='Tablas AR'!$B$11,2,IF('Análisis de Riesgos'!G465='Tablas AR'!$B$12,3,"")))</f>
        <v/>
      </c>
      <c r="I465" s="26" t="str">
        <f t="shared" si="7"/>
        <v/>
      </c>
    </row>
    <row r="466" spans="2:9" x14ac:dyDescent="0.25">
      <c r="B466" s="27" t="str">
        <f>IFERROR(INDEX(Activos!$B$3:$C$16, MATCH(C466,Activos!$B$3:$B$16),2),"")</f>
        <v/>
      </c>
      <c r="C466" s="27"/>
      <c r="D466" s="27"/>
      <c r="E466" s="25"/>
      <c r="F466" s="26" t="str">
        <f>IF(E466='Tablas AR'!$B$4,1,IF('Análisis de Riesgos'!E466='Tablas AR'!$B$5,2,IF('Análisis de Riesgos'!E466='Tablas AR'!$B$6,3,"")))</f>
        <v/>
      </c>
      <c r="G466" s="25"/>
      <c r="H466" s="26" t="str">
        <f>IF(G466='Tablas AR'!$B$10,1,IF('Análisis de Riesgos'!G466='Tablas AR'!$B$11,2,IF('Análisis de Riesgos'!G466='Tablas AR'!$B$12,3,"")))</f>
        <v/>
      </c>
      <c r="I466" s="26" t="str">
        <f t="shared" si="7"/>
        <v/>
      </c>
    </row>
    <row r="467" spans="2:9" x14ac:dyDescent="0.25">
      <c r="B467" s="27" t="str">
        <f>IFERROR(INDEX(Activos!$B$3:$C$16, MATCH(C467,Activos!$B$3:$B$16),2),"")</f>
        <v/>
      </c>
      <c r="C467" s="27"/>
      <c r="D467" s="27"/>
      <c r="E467" s="25"/>
      <c r="F467" s="26" t="str">
        <f>IF(E467='Tablas AR'!$B$4,1,IF('Análisis de Riesgos'!E467='Tablas AR'!$B$5,2,IF('Análisis de Riesgos'!E467='Tablas AR'!$B$6,3,"")))</f>
        <v/>
      </c>
      <c r="G467" s="25"/>
      <c r="H467" s="26" t="str">
        <f>IF(G467='Tablas AR'!$B$10,1,IF('Análisis de Riesgos'!G467='Tablas AR'!$B$11,2,IF('Análisis de Riesgos'!G467='Tablas AR'!$B$12,3,"")))</f>
        <v/>
      </c>
      <c r="I467" s="26" t="str">
        <f t="shared" si="7"/>
        <v/>
      </c>
    </row>
    <row r="468" spans="2:9" x14ac:dyDescent="0.25">
      <c r="B468" s="27" t="str">
        <f>IFERROR(INDEX(Activos!$B$3:$C$16, MATCH(C468,Activos!$B$3:$B$16),2),"")</f>
        <v/>
      </c>
      <c r="C468" s="27"/>
      <c r="D468" s="27"/>
      <c r="E468" s="25"/>
      <c r="F468" s="26" t="str">
        <f>IF(E468='Tablas AR'!$B$4,1,IF('Análisis de Riesgos'!E468='Tablas AR'!$B$5,2,IF('Análisis de Riesgos'!E468='Tablas AR'!$B$6,3,"")))</f>
        <v/>
      </c>
      <c r="G468" s="25"/>
      <c r="H468" s="26" t="str">
        <f>IF(G468='Tablas AR'!$B$10,1,IF('Análisis de Riesgos'!G468='Tablas AR'!$B$11,2,IF('Análisis de Riesgos'!G468='Tablas AR'!$B$12,3,"")))</f>
        <v/>
      </c>
      <c r="I468" s="26" t="str">
        <f t="shared" si="7"/>
        <v/>
      </c>
    </row>
    <row r="469" spans="2:9" x14ac:dyDescent="0.25">
      <c r="B469" s="27" t="str">
        <f>IFERROR(INDEX(Activos!$B$3:$C$16, MATCH(C469,Activos!$B$3:$B$16),2),"")</f>
        <v/>
      </c>
      <c r="C469" s="27"/>
      <c r="D469" s="27"/>
      <c r="E469" s="25"/>
      <c r="F469" s="26" t="str">
        <f>IF(E469='Tablas AR'!$B$4,1,IF('Análisis de Riesgos'!E469='Tablas AR'!$B$5,2,IF('Análisis de Riesgos'!E469='Tablas AR'!$B$6,3,"")))</f>
        <v/>
      </c>
      <c r="G469" s="25"/>
      <c r="H469" s="26" t="str">
        <f>IF(G469='Tablas AR'!$B$10,1,IF('Análisis de Riesgos'!G469='Tablas AR'!$B$11,2,IF('Análisis de Riesgos'!G469='Tablas AR'!$B$12,3,"")))</f>
        <v/>
      </c>
      <c r="I469" s="26" t="str">
        <f t="shared" si="7"/>
        <v/>
      </c>
    </row>
    <row r="470" spans="2:9" x14ac:dyDescent="0.25">
      <c r="B470" s="27" t="str">
        <f>IFERROR(INDEX(Activos!$B$3:$C$16, MATCH(C470,Activos!$B$3:$B$16),2),"")</f>
        <v/>
      </c>
      <c r="C470" s="27"/>
      <c r="D470" s="27"/>
      <c r="E470" s="25"/>
      <c r="F470" s="26" t="str">
        <f>IF(E470='Tablas AR'!$B$4,1,IF('Análisis de Riesgos'!E470='Tablas AR'!$B$5,2,IF('Análisis de Riesgos'!E470='Tablas AR'!$B$6,3,"")))</f>
        <v/>
      </c>
      <c r="G470" s="25"/>
      <c r="H470" s="26" t="str">
        <f>IF(G470='Tablas AR'!$B$10,1,IF('Análisis de Riesgos'!G470='Tablas AR'!$B$11,2,IF('Análisis de Riesgos'!G470='Tablas AR'!$B$12,3,"")))</f>
        <v/>
      </c>
      <c r="I470" s="26" t="str">
        <f t="shared" si="7"/>
        <v/>
      </c>
    </row>
    <row r="471" spans="2:9" x14ac:dyDescent="0.25">
      <c r="B471" s="27" t="str">
        <f>IFERROR(INDEX(Activos!$B$3:$C$16, MATCH(C471,Activos!$B$3:$B$16),2),"")</f>
        <v/>
      </c>
      <c r="C471" s="27"/>
      <c r="D471" s="27"/>
      <c r="E471" s="25"/>
      <c r="F471" s="26" t="str">
        <f>IF(E471='Tablas AR'!$B$4,1,IF('Análisis de Riesgos'!E471='Tablas AR'!$B$5,2,IF('Análisis de Riesgos'!E471='Tablas AR'!$B$6,3,"")))</f>
        <v/>
      </c>
      <c r="G471" s="25"/>
      <c r="H471" s="26" t="str">
        <f>IF(G471='Tablas AR'!$B$10,1,IF('Análisis de Riesgos'!G471='Tablas AR'!$B$11,2,IF('Análisis de Riesgos'!G471='Tablas AR'!$B$12,3,"")))</f>
        <v/>
      </c>
      <c r="I471" s="26" t="str">
        <f t="shared" si="7"/>
        <v/>
      </c>
    </row>
    <row r="472" spans="2:9" x14ac:dyDescent="0.25">
      <c r="B472" s="27" t="str">
        <f>IFERROR(INDEX(Activos!$B$3:$C$16, MATCH(C472,Activos!$B$3:$B$16),2),"")</f>
        <v/>
      </c>
      <c r="C472" s="27"/>
      <c r="D472" s="27"/>
      <c r="E472" s="25"/>
      <c r="F472" s="26" t="str">
        <f>IF(E472='Tablas AR'!$B$4,1,IF('Análisis de Riesgos'!E472='Tablas AR'!$B$5,2,IF('Análisis de Riesgos'!E472='Tablas AR'!$B$6,3,"")))</f>
        <v/>
      </c>
      <c r="G472" s="25"/>
      <c r="H472" s="26" t="str">
        <f>IF(G472='Tablas AR'!$B$10,1,IF('Análisis de Riesgos'!G472='Tablas AR'!$B$11,2,IF('Análisis de Riesgos'!G472='Tablas AR'!$B$12,3,"")))</f>
        <v/>
      </c>
      <c r="I472" s="26" t="str">
        <f t="shared" si="7"/>
        <v/>
      </c>
    </row>
    <row r="473" spans="2:9" x14ac:dyDescent="0.25">
      <c r="B473" s="27" t="str">
        <f>IFERROR(INDEX(Activos!$B$3:$C$16, MATCH(C473,Activos!$B$3:$B$16),2),"")</f>
        <v/>
      </c>
      <c r="C473" s="27"/>
      <c r="D473" s="27"/>
      <c r="E473" s="25"/>
      <c r="F473" s="26" t="str">
        <f>IF(E473='Tablas AR'!$B$4,1,IF('Análisis de Riesgos'!E473='Tablas AR'!$B$5,2,IF('Análisis de Riesgos'!E473='Tablas AR'!$B$6,3,"")))</f>
        <v/>
      </c>
      <c r="G473" s="25"/>
      <c r="H473" s="26" t="str">
        <f>IF(G473='Tablas AR'!$B$10,1,IF('Análisis de Riesgos'!G473='Tablas AR'!$B$11,2,IF('Análisis de Riesgos'!G473='Tablas AR'!$B$12,3,"")))</f>
        <v/>
      </c>
      <c r="I473" s="26" t="str">
        <f t="shared" si="7"/>
        <v/>
      </c>
    </row>
    <row r="474" spans="2:9" x14ac:dyDescent="0.25">
      <c r="B474" s="27" t="str">
        <f>IFERROR(INDEX(Activos!$B$3:$C$16, MATCH(C474,Activos!$B$3:$B$16),2),"")</f>
        <v/>
      </c>
      <c r="C474" s="27"/>
      <c r="D474" s="27"/>
      <c r="E474" s="25"/>
      <c r="F474" s="26" t="str">
        <f>IF(E474='Tablas AR'!$B$4,1,IF('Análisis de Riesgos'!E474='Tablas AR'!$B$5,2,IF('Análisis de Riesgos'!E474='Tablas AR'!$B$6,3,"")))</f>
        <v/>
      </c>
      <c r="G474" s="25"/>
      <c r="H474" s="26" t="str">
        <f>IF(G474='Tablas AR'!$B$10,1,IF('Análisis de Riesgos'!G474='Tablas AR'!$B$11,2,IF('Análisis de Riesgos'!G474='Tablas AR'!$B$12,3,"")))</f>
        <v/>
      </c>
      <c r="I474" s="26" t="str">
        <f t="shared" si="7"/>
        <v/>
      </c>
    </row>
    <row r="475" spans="2:9" x14ac:dyDescent="0.25">
      <c r="B475" s="27" t="str">
        <f>IFERROR(INDEX(Activos!$B$3:$C$16, MATCH(C475,Activos!$B$3:$B$16),2),"")</f>
        <v/>
      </c>
      <c r="C475" s="27"/>
      <c r="D475" s="27"/>
      <c r="E475" s="25"/>
      <c r="F475" s="26" t="str">
        <f>IF(E475='Tablas AR'!$B$4,1,IF('Análisis de Riesgos'!E475='Tablas AR'!$B$5,2,IF('Análisis de Riesgos'!E475='Tablas AR'!$B$6,3,"")))</f>
        <v/>
      </c>
      <c r="G475" s="25"/>
      <c r="H475" s="26" t="str">
        <f>IF(G475='Tablas AR'!$B$10,1,IF('Análisis de Riesgos'!G475='Tablas AR'!$B$11,2,IF('Análisis de Riesgos'!G475='Tablas AR'!$B$12,3,"")))</f>
        <v/>
      </c>
      <c r="I475" s="26" t="str">
        <f t="shared" si="7"/>
        <v/>
      </c>
    </row>
    <row r="476" spans="2:9" x14ac:dyDescent="0.25">
      <c r="B476" s="27" t="str">
        <f>IFERROR(INDEX(Activos!$B$3:$C$16, MATCH(C476,Activos!$B$3:$B$16),2),"")</f>
        <v/>
      </c>
      <c r="C476" s="27"/>
      <c r="D476" s="27"/>
      <c r="E476" s="25"/>
      <c r="F476" s="26" t="str">
        <f>IF(E476='Tablas AR'!$B$4,1,IF('Análisis de Riesgos'!E476='Tablas AR'!$B$5,2,IF('Análisis de Riesgos'!E476='Tablas AR'!$B$6,3,"")))</f>
        <v/>
      </c>
      <c r="G476" s="25"/>
      <c r="H476" s="26" t="str">
        <f>IF(G476='Tablas AR'!$B$10,1,IF('Análisis de Riesgos'!G476='Tablas AR'!$B$11,2,IF('Análisis de Riesgos'!G476='Tablas AR'!$B$12,3,"")))</f>
        <v/>
      </c>
      <c r="I476" s="26" t="str">
        <f t="shared" si="7"/>
        <v/>
      </c>
    </row>
    <row r="477" spans="2:9" x14ac:dyDescent="0.25">
      <c r="B477" s="27" t="str">
        <f>IFERROR(INDEX(Activos!$B$3:$C$16, MATCH(C477,Activos!$B$3:$B$16),2),"")</f>
        <v/>
      </c>
      <c r="C477" s="27"/>
      <c r="D477" s="27"/>
      <c r="E477" s="25"/>
      <c r="F477" s="26" t="str">
        <f>IF(E477='Tablas AR'!$B$4,1,IF('Análisis de Riesgos'!E477='Tablas AR'!$B$5,2,IF('Análisis de Riesgos'!E477='Tablas AR'!$B$6,3,"")))</f>
        <v/>
      </c>
      <c r="G477" s="25"/>
      <c r="H477" s="26" t="str">
        <f>IF(G477='Tablas AR'!$B$10,1,IF('Análisis de Riesgos'!G477='Tablas AR'!$B$11,2,IF('Análisis de Riesgos'!G477='Tablas AR'!$B$12,3,"")))</f>
        <v/>
      </c>
      <c r="I477" s="26" t="str">
        <f t="shared" si="7"/>
        <v/>
      </c>
    </row>
    <row r="478" spans="2:9" x14ac:dyDescent="0.25">
      <c r="B478" s="27" t="str">
        <f>IFERROR(INDEX(Activos!$B$3:$C$16, MATCH(C478,Activos!$B$3:$B$16),2),"")</f>
        <v/>
      </c>
      <c r="C478" s="27"/>
      <c r="D478" s="27"/>
      <c r="E478" s="25"/>
      <c r="F478" s="26" t="str">
        <f>IF(E478='Tablas AR'!$B$4,1,IF('Análisis de Riesgos'!E478='Tablas AR'!$B$5,2,IF('Análisis de Riesgos'!E478='Tablas AR'!$B$6,3,"")))</f>
        <v/>
      </c>
      <c r="G478" s="25"/>
      <c r="H478" s="26" t="str">
        <f>IF(G478='Tablas AR'!$B$10,1,IF('Análisis de Riesgos'!G478='Tablas AR'!$B$11,2,IF('Análisis de Riesgos'!G478='Tablas AR'!$B$12,3,"")))</f>
        <v/>
      </c>
      <c r="I478" s="26" t="str">
        <f t="shared" si="7"/>
        <v/>
      </c>
    </row>
    <row r="479" spans="2:9" x14ac:dyDescent="0.25">
      <c r="B479" s="27" t="str">
        <f>IFERROR(INDEX(Activos!$B$3:$C$16, MATCH(C479,Activos!$B$3:$B$16),2),"")</f>
        <v/>
      </c>
      <c r="C479" s="27"/>
      <c r="D479" s="27"/>
      <c r="E479" s="25"/>
      <c r="F479" s="26" t="str">
        <f>IF(E479='Tablas AR'!$B$4,1,IF('Análisis de Riesgos'!E479='Tablas AR'!$B$5,2,IF('Análisis de Riesgos'!E479='Tablas AR'!$B$6,3,"")))</f>
        <v/>
      </c>
      <c r="G479" s="25"/>
      <c r="H479" s="26" t="str">
        <f>IF(G479='Tablas AR'!$B$10,1,IF('Análisis de Riesgos'!G479='Tablas AR'!$B$11,2,IF('Análisis de Riesgos'!G479='Tablas AR'!$B$12,3,"")))</f>
        <v/>
      </c>
      <c r="I479" s="26" t="str">
        <f t="shared" si="7"/>
        <v/>
      </c>
    </row>
    <row r="480" spans="2:9" x14ac:dyDescent="0.25">
      <c r="B480" s="27" t="str">
        <f>IFERROR(INDEX(Activos!$B$3:$C$16, MATCH(C480,Activos!$B$3:$B$16),2),"")</f>
        <v/>
      </c>
      <c r="C480" s="27"/>
      <c r="D480" s="27"/>
      <c r="E480" s="25"/>
      <c r="F480" s="26" t="str">
        <f>IF(E480='Tablas AR'!$B$4,1,IF('Análisis de Riesgos'!E480='Tablas AR'!$B$5,2,IF('Análisis de Riesgos'!E480='Tablas AR'!$B$6,3,"")))</f>
        <v/>
      </c>
      <c r="G480" s="25"/>
      <c r="H480" s="26" t="str">
        <f>IF(G480='Tablas AR'!$B$10,1,IF('Análisis de Riesgos'!G480='Tablas AR'!$B$11,2,IF('Análisis de Riesgos'!G480='Tablas AR'!$B$12,3,"")))</f>
        <v/>
      </c>
      <c r="I480" s="26" t="str">
        <f t="shared" si="7"/>
        <v/>
      </c>
    </row>
    <row r="481" spans="2:9" x14ac:dyDescent="0.25">
      <c r="B481" s="27" t="str">
        <f>IFERROR(INDEX(Activos!$B$3:$C$16, MATCH(C481,Activos!$B$3:$B$16),2),"")</f>
        <v/>
      </c>
      <c r="C481" s="27"/>
      <c r="D481" s="27"/>
      <c r="E481" s="25"/>
      <c r="F481" s="26" t="str">
        <f>IF(E481='Tablas AR'!$B$4,1,IF('Análisis de Riesgos'!E481='Tablas AR'!$B$5,2,IF('Análisis de Riesgos'!E481='Tablas AR'!$B$6,3,"")))</f>
        <v/>
      </c>
      <c r="G481" s="25"/>
      <c r="H481" s="26" t="str">
        <f>IF(G481='Tablas AR'!$B$10,1,IF('Análisis de Riesgos'!G481='Tablas AR'!$B$11,2,IF('Análisis de Riesgos'!G481='Tablas AR'!$B$12,3,"")))</f>
        <v/>
      </c>
      <c r="I481" s="26" t="str">
        <f t="shared" si="7"/>
        <v/>
      </c>
    </row>
    <row r="482" spans="2:9" x14ac:dyDescent="0.25">
      <c r="B482" s="27" t="str">
        <f>IFERROR(INDEX(Activos!$B$3:$C$16, MATCH(C482,Activos!$B$3:$B$16),2),"")</f>
        <v/>
      </c>
      <c r="C482" s="27"/>
      <c r="D482" s="27"/>
      <c r="E482" s="25"/>
      <c r="F482" s="26" t="str">
        <f>IF(E482='Tablas AR'!$B$4,1,IF('Análisis de Riesgos'!E482='Tablas AR'!$B$5,2,IF('Análisis de Riesgos'!E482='Tablas AR'!$B$6,3,"")))</f>
        <v/>
      </c>
      <c r="G482" s="25"/>
      <c r="H482" s="26" t="str">
        <f>IF(G482='Tablas AR'!$B$10,1,IF('Análisis de Riesgos'!G482='Tablas AR'!$B$11,2,IF('Análisis de Riesgos'!G482='Tablas AR'!$B$12,3,"")))</f>
        <v/>
      </c>
      <c r="I482" s="26" t="str">
        <f t="shared" si="7"/>
        <v/>
      </c>
    </row>
    <row r="483" spans="2:9" x14ac:dyDescent="0.25">
      <c r="B483" s="27" t="str">
        <f>IFERROR(INDEX(Activos!$B$3:$C$16, MATCH(C483,Activos!$B$3:$B$16),2),"")</f>
        <v/>
      </c>
      <c r="C483" s="27"/>
      <c r="D483" s="27"/>
      <c r="E483" s="25"/>
      <c r="F483" s="26" t="str">
        <f>IF(E483='Tablas AR'!$B$4,1,IF('Análisis de Riesgos'!E483='Tablas AR'!$B$5,2,IF('Análisis de Riesgos'!E483='Tablas AR'!$B$6,3,"")))</f>
        <v/>
      </c>
      <c r="G483" s="25"/>
      <c r="H483" s="26" t="str">
        <f>IF(G483='Tablas AR'!$B$10,1,IF('Análisis de Riesgos'!G483='Tablas AR'!$B$11,2,IF('Análisis de Riesgos'!G483='Tablas AR'!$B$12,3,"")))</f>
        <v/>
      </c>
      <c r="I483" s="26" t="str">
        <f t="shared" si="7"/>
        <v/>
      </c>
    </row>
    <row r="484" spans="2:9" x14ac:dyDescent="0.25">
      <c r="B484" s="27" t="str">
        <f>IFERROR(INDEX(Activos!$B$3:$C$16, MATCH(C484,Activos!$B$3:$B$16),2),"")</f>
        <v/>
      </c>
      <c r="C484" s="27"/>
      <c r="D484" s="27"/>
      <c r="E484" s="25"/>
      <c r="F484" s="26" t="str">
        <f>IF(E484='Tablas AR'!$B$4,1,IF('Análisis de Riesgos'!E484='Tablas AR'!$B$5,2,IF('Análisis de Riesgos'!E484='Tablas AR'!$B$6,3,"")))</f>
        <v/>
      </c>
      <c r="G484" s="25"/>
      <c r="H484" s="26" t="str">
        <f>IF(G484='Tablas AR'!$B$10,1,IF('Análisis de Riesgos'!G484='Tablas AR'!$B$11,2,IF('Análisis de Riesgos'!G484='Tablas AR'!$B$12,3,"")))</f>
        <v/>
      </c>
      <c r="I484" s="26" t="str">
        <f t="shared" si="7"/>
        <v/>
      </c>
    </row>
    <row r="485" spans="2:9" x14ac:dyDescent="0.25">
      <c r="B485" s="27" t="str">
        <f>IFERROR(INDEX(Activos!$B$3:$C$16, MATCH(C485,Activos!$B$3:$B$16),2),"")</f>
        <v/>
      </c>
      <c r="C485" s="27"/>
      <c r="D485" s="27"/>
      <c r="E485" s="25"/>
      <c r="F485" s="26" t="str">
        <f>IF(E485='Tablas AR'!$B$4,1,IF('Análisis de Riesgos'!E485='Tablas AR'!$B$5,2,IF('Análisis de Riesgos'!E485='Tablas AR'!$B$6,3,"")))</f>
        <v/>
      </c>
      <c r="G485" s="25"/>
      <c r="H485" s="26" t="str">
        <f>IF(G485='Tablas AR'!$B$10,1,IF('Análisis de Riesgos'!G485='Tablas AR'!$B$11,2,IF('Análisis de Riesgos'!G485='Tablas AR'!$B$12,3,"")))</f>
        <v/>
      </c>
      <c r="I485" s="26" t="str">
        <f t="shared" si="7"/>
        <v/>
      </c>
    </row>
    <row r="486" spans="2:9" x14ac:dyDescent="0.25">
      <c r="B486" s="27" t="str">
        <f>IFERROR(INDEX(Activos!$B$3:$C$16, MATCH(C486,Activos!$B$3:$B$16),2),"")</f>
        <v/>
      </c>
      <c r="C486" s="27"/>
      <c r="D486" s="27"/>
      <c r="E486" s="25"/>
      <c r="F486" s="26" t="str">
        <f>IF(E486='Tablas AR'!$B$4,1,IF('Análisis de Riesgos'!E486='Tablas AR'!$B$5,2,IF('Análisis de Riesgos'!E486='Tablas AR'!$B$6,3,"")))</f>
        <v/>
      </c>
      <c r="G486" s="25"/>
      <c r="H486" s="26" t="str">
        <f>IF(G486='Tablas AR'!$B$10,1,IF('Análisis de Riesgos'!G486='Tablas AR'!$B$11,2,IF('Análisis de Riesgos'!G486='Tablas AR'!$B$12,3,"")))</f>
        <v/>
      </c>
      <c r="I486" s="26" t="str">
        <f t="shared" si="7"/>
        <v/>
      </c>
    </row>
    <row r="487" spans="2:9" x14ac:dyDescent="0.25">
      <c r="B487" s="27" t="str">
        <f>IFERROR(INDEX(Activos!$B$3:$C$16, MATCH(C487,Activos!$B$3:$B$16),2),"")</f>
        <v/>
      </c>
      <c r="C487" s="27"/>
      <c r="D487" s="27"/>
      <c r="E487" s="25"/>
      <c r="F487" s="26" t="str">
        <f>IF(E487='Tablas AR'!$B$4,1,IF('Análisis de Riesgos'!E487='Tablas AR'!$B$5,2,IF('Análisis de Riesgos'!E487='Tablas AR'!$B$6,3,"")))</f>
        <v/>
      </c>
      <c r="G487" s="25"/>
      <c r="H487" s="26" t="str">
        <f>IF(G487='Tablas AR'!$B$10,1,IF('Análisis de Riesgos'!G487='Tablas AR'!$B$11,2,IF('Análisis de Riesgos'!G487='Tablas AR'!$B$12,3,"")))</f>
        <v/>
      </c>
      <c r="I487" s="26" t="str">
        <f t="shared" si="7"/>
        <v/>
      </c>
    </row>
    <row r="488" spans="2:9" x14ac:dyDescent="0.25">
      <c r="B488" s="27" t="str">
        <f>IFERROR(INDEX(Activos!$B$3:$C$16, MATCH(C488,Activos!$B$3:$B$16),2),"")</f>
        <v/>
      </c>
      <c r="C488" s="27"/>
      <c r="D488" s="27"/>
      <c r="E488" s="25"/>
      <c r="F488" s="26" t="str">
        <f>IF(E488='Tablas AR'!$B$4,1,IF('Análisis de Riesgos'!E488='Tablas AR'!$B$5,2,IF('Análisis de Riesgos'!E488='Tablas AR'!$B$6,3,"")))</f>
        <v/>
      </c>
      <c r="G488" s="25"/>
      <c r="H488" s="26" t="str">
        <f>IF(G488='Tablas AR'!$B$10,1,IF('Análisis de Riesgos'!G488='Tablas AR'!$B$11,2,IF('Análisis de Riesgos'!G488='Tablas AR'!$B$12,3,"")))</f>
        <v/>
      </c>
      <c r="I488" s="26" t="str">
        <f t="shared" si="7"/>
        <v/>
      </c>
    </row>
    <row r="489" spans="2:9" x14ac:dyDescent="0.25">
      <c r="B489" s="27" t="str">
        <f>IFERROR(INDEX(Activos!$B$3:$C$16, MATCH(C489,Activos!$B$3:$B$16),2),"")</f>
        <v/>
      </c>
      <c r="C489" s="27"/>
      <c r="D489" s="27"/>
      <c r="E489" s="25"/>
      <c r="F489" s="26" t="str">
        <f>IF(E489='Tablas AR'!$B$4,1,IF('Análisis de Riesgos'!E489='Tablas AR'!$B$5,2,IF('Análisis de Riesgos'!E489='Tablas AR'!$B$6,3,"")))</f>
        <v/>
      </c>
      <c r="G489" s="25"/>
      <c r="H489" s="26" t="str">
        <f>IF(G489='Tablas AR'!$B$10,1,IF('Análisis de Riesgos'!G489='Tablas AR'!$B$11,2,IF('Análisis de Riesgos'!G489='Tablas AR'!$B$12,3,"")))</f>
        <v/>
      </c>
      <c r="I489" s="26" t="str">
        <f t="shared" si="7"/>
        <v/>
      </c>
    </row>
    <row r="490" spans="2:9" x14ac:dyDescent="0.25">
      <c r="B490" s="27" t="str">
        <f>IFERROR(INDEX(Activos!$B$3:$C$16, MATCH(C490,Activos!$B$3:$B$16),2),"")</f>
        <v/>
      </c>
      <c r="C490" s="27"/>
      <c r="D490" s="27"/>
      <c r="E490" s="25"/>
      <c r="F490" s="26" t="str">
        <f>IF(E490='Tablas AR'!$B$4,1,IF('Análisis de Riesgos'!E490='Tablas AR'!$B$5,2,IF('Análisis de Riesgos'!E490='Tablas AR'!$B$6,3,"")))</f>
        <v/>
      </c>
      <c r="G490" s="25"/>
      <c r="H490" s="26" t="str">
        <f>IF(G490='Tablas AR'!$B$10,1,IF('Análisis de Riesgos'!G490='Tablas AR'!$B$11,2,IF('Análisis de Riesgos'!G490='Tablas AR'!$B$12,3,"")))</f>
        <v/>
      </c>
      <c r="I490" s="26" t="str">
        <f t="shared" si="7"/>
        <v/>
      </c>
    </row>
    <row r="491" spans="2:9" x14ac:dyDescent="0.25">
      <c r="B491" s="27" t="str">
        <f>IFERROR(INDEX(Activos!$B$3:$C$16, MATCH(C491,Activos!$B$3:$B$16),2),"")</f>
        <v/>
      </c>
      <c r="C491" s="27"/>
      <c r="D491" s="27"/>
      <c r="E491" s="25"/>
      <c r="F491" s="26" t="str">
        <f>IF(E491='Tablas AR'!$B$4,1,IF('Análisis de Riesgos'!E491='Tablas AR'!$B$5,2,IF('Análisis de Riesgos'!E491='Tablas AR'!$B$6,3,"")))</f>
        <v/>
      </c>
      <c r="G491" s="25"/>
      <c r="H491" s="26" t="str">
        <f>IF(G491='Tablas AR'!$B$10,1,IF('Análisis de Riesgos'!G491='Tablas AR'!$B$11,2,IF('Análisis de Riesgos'!G491='Tablas AR'!$B$12,3,"")))</f>
        <v/>
      </c>
      <c r="I491" s="26" t="str">
        <f t="shared" si="7"/>
        <v/>
      </c>
    </row>
    <row r="492" spans="2:9" x14ac:dyDescent="0.25">
      <c r="B492" s="27" t="str">
        <f>IFERROR(INDEX(Activos!$B$3:$C$16, MATCH(C492,Activos!$B$3:$B$16),2),"")</f>
        <v/>
      </c>
      <c r="C492" s="27"/>
      <c r="D492" s="27"/>
      <c r="E492" s="25"/>
      <c r="F492" s="26" t="str">
        <f>IF(E492='Tablas AR'!$B$4,1,IF('Análisis de Riesgos'!E492='Tablas AR'!$B$5,2,IF('Análisis de Riesgos'!E492='Tablas AR'!$B$6,3,"")))</f>
        <v/>
      </c>
      <c r="G492" s="25"/>
      <c r="H492" s="26" t="str">
        <f>IF(G492='Tablas AR'!$B$10,1,IF('Análisis de Riesgos'!G492='Tablas AR'!$B$11,2,IF('Análisis de Riesgos'!G492='Tablas AR'!$B$12,3,"")))</f>
        <v/>
      </c>
      <c r="I492" s="26" t="str">
        <f t="shared" si="7"/>
        <v/>
      </c>
    </row>
    <row r="493" spans="2:9" x14ac:dyDescent="0.25">
      <c r="B493" s="27" t="str">
        <f>IFERROR(INDEX(Activos!$B$3:$C$16, MATCH(C493,Activos!$B$3:$B$16),2),"")</f>
        <v/>
      </c>
      <c r="C493" s="27"/>
      <c r="D493" s="27"/>
      <c r="E493" s="25"/>
      <c r="F493" s="26" t="str">
        <f>IF(E493='Tablas AR'!$B$4,1,IF('Análisis de Riesgos'!E493='Tablas AR'!$B$5,2,IF('Análisis de Riesgos'!E493='Tablas AR'!$B$6,3,"")))</f>
        <v/>
      </c>
      <c r="G493" s="25"/>
      <c r="H493" s="26" t="str">
        <f>IF(G493='Tablas AR'!$B$10,1,IF('Análisis de Riesgos'!G493='Tablas AR'!$B$11,2,IF('Análisis de Riesgos'!G493='Tablas AR'!$B$12,3,"")))</f>
        <v/>
      </c>
      <c r="I493" s="26" t="str">
        <f t="shared" si="7"/>
        <v/>
      </c>
    </row>
    <row r="494" spans="2:9" x14ac:dyDescent="0.25">
      <c r="B494" s="27" t="str">
        <f>IFERROR(INDEX(Activos!$B$3:$C$16, MATCH(C494,Activos!$B$3:$B$16),2),"")</f>
        <v/>
      </c>
      <c r="C494" s="27"/>
      <c r="D494" s="27"/>
      <c r="E494" s="25"/>
      <c r="F494" s="26" t="str">
        <f>IF(E494='Tablas AR'!$B$4,1,IF('Análisis de Riesgos'!E494='Tablas AR'!$B$5,2,IF('Análisis de Riesgos'!E494='Tablas AR'!$B$6,3,"")))</f>
        <v/>
      </c>
      <c r="G494" s="25"/>
      <c r="H494" s="26" t="str">
        <f>IF(G494='Tablas AR'!$B$10,1,IF('Análisis de Riesgos'!G494='Tablas AR'!$B$11,2,IF('Análisis de Riesgos'!G494='Tablas AR'!$B$12,3,"")))</f>
        <v/>
      </c>
      <c r="I494" s="26" t="str">
        <f t="shared" si="7"/>
        <v/>
      </c>
    </row>
    <row r="495" spans="2:9" x14ac:dyDescent="0.25">
      <c r="B495" s="27" t="str">
        <f>IFERROR(INDEX(Activos!$B$3:$C$16, MATCH(C495,Activos!$B$3:$B$16),2),"")</f>
        <v/>
      </c>
      <c r="C495" s="27"/>
      <c r="D495" s="27"/>
      <c r="E495" s="25"/>
      <c r="F495" s="26" t="str">
        <f>IF(E495='Tablas AR'!$B$4,1,IF('Análisis de Riesgos'!E495='Tablas AR'!$B$5,2,IF('Análisis de Riesgos'!E495='Tablas AR'!$B$6,3,"")))</f>
        <v/>
      </c>
      <c r="G495" s="25"/>
      <c r="H495" s="26" t="str">
        <f>IF(G495='Tablas AR'!$B$10,1,IF('Análisis de Riesgos'!G495='Tablas AR'!$B$11,2,IF('Análisis de Riesgos'!G495='Tablas AR'!$B$12,3,"")))</f>
        <v/>
      </c>
      <c r="I495" s="26" t="str">
        <f t="shared" si="7"/>
        <v/>
      </c>
    </row>
    <row r="496" spans="2:9" x14ac:dyDescent="0.25">
      <c r="B496" s="27" t="str">
        <f>IFERROR(INDEX(Activos!$B$3:$C$16, MATCH(C496,Activos!$B$3:$B$16),2),"")</f>
        <v/>
      </c>
      <c r="C496" s="27"/>
      <c r="D496" s="27"/>
      <c r="E496" s="25"/>
      <c r="F496" s="26" t="str">
        <f>IF(E496='Tablas AR'!$B$4,1,IF('Análisis de Riesgos'!E496='Tablas AR'!$B$5,2,IF('Análisis de Riesgos'!E496='Tablas AR'!$B$6,3,"")))</f>
        <v/>
      </c>
      <c r="G496" s="25"/>
      <c r="H496" s="26" t="str">
        <f>IF(G496='Tablas AR'!$B$10,1,IF('Análisis de Riesgos'!G496='Tablas AR'!$B$11,2,IF('Análisis de Riesgos'!G496='Tablas AR'!$B$12,3,"")))</f>
        <v/>
      </c>
      <c r="I496" s="26" t="str">
        <f t="shared" si="7"/>
        <v/>
      </c>
    </row>
    <row r="497" spans="2:9" x14ac:dyDescent="0.25">
      <c r="B497" s="27" t="str">
        <f>IFERROR(INDEX(Activos!$B$3:$C$16, MATCH(C497,Activos!$B$3:$B$16),2),"")</f>
        <v/>
      </c>
      <c r="C497" s="27"/>
      <c r="D497" s="27"/>
      <c r="E497" s="25"/>
      <c r="F497" s="26" t="str">
        <f>IF(E497='Tablas AR'!$B$4,1,IF('Análisis de Riesgos'!E497='Tablas AR'!$B$5,2,IF('Análisis de Riesgos'!E497='Tablas AR'!$B$6,3,"")))</f>
        <v/>
      </c>
      <c r="G497" s="25"/>
      <c r="H497" s="26" t="str">
        <f>IF(G497='Tablas AR'!$B$10,1,IF('Análisis de Riesgos'!G497='Tablas AR'!$B$11,2,IF('Análisis de Riesgos'!G497='Tablas AR'!$B$12,3,"")))</f>
        <v/>
      </c>
      <c r="I497" s="26" t="str">
        <f t="shared" si="7"/>
        <v/>
      </c>
    </row>
    <row r="498" spans="2:9" x14ac:dyDescent="0.25">
      <c r="B498" s="27" t="str">
        <f>IFERROR(INDEX(Activos!$B$3:$C$16, MATCH(C498,Activos!$B$3:$B$16),2),"")</f>
        <v/>
      </c>
      <c r="C498" s="27"/>
      <c r="D498" s="27"/>
      <c r="E498" s="25"/>
      <c r="F498" s="26" t="str">
        <f>IF(E498='Tablas AR'!$B$4,1,IF('Análisis de Riesgos'!E498='Tablas AR'!$B$5,2,IF('Análisis de Riesgos'!E498='Tablas AR'!$B$6,3,"")))</f>
        <v/>
      </c>
      <c r="G498" s="25"/>
      <c r="H498" s="26" t="str">
        <f>IF(G498='Tablas AR'!$B$10,1,IF('Análisis de Riesgos'!G498='Tablas AR'!$B$11,2,IF('Análisis de Riesgos'!G498='Tablas AR'!$B$12,3,"")))</f>
        <v/>
      </c>
      <c r="I498" s="26" t="str">
        <f t="shared" si="7"/>
        <v/>
      </c>
    </row>
    <row r="499" spans="2:9" x14ac:dyDescent="0.25">
      <c r="B499" s="27" t="str">
        <f>IFERROR(INDEX(Activos!$B$3:$C$16, MATCH(C499,Activos!$B$3:$B$16),2),"")</f>
        <v/>
      </c>
      <c r="C499" s="27"/>
      <c r="D499" s="27"/>
      <c r="E499" s="25"/>
      <c r="F499" s="26" t="str">
        <f>IF(E499='Tablas AR'!$B$4,1,IF('Análisis de Riesgos'!E499='Tablas AR'!$B$5,2,IF('Análisis de Riesgos'!E499='Tablas AR'!$B$6,3,"")))</f>
        <v/>
      </c>
      <c r="G499" s="25"/>
      <c r="H499" s="26" t="str">
        <f>IF(G499='Tablas AR'!$B$10,1,IF('Análisis de Riesgos'!G499='Tablas AR'!$B$11,2,IF('Análisis de Riesgos'!G499='Tablas AR'!$B$12,3,"")))</f>
        <v/>
      </c>
      <c r="I499" s="26" t="str">
        <f t="shared" si="7"/>
        <v/>
      </c>
    </row>
    <row r="500" spans="2:9" x14ac:dyDescent="0.25">
      <c r="B500" s="27" t="str">
        <f>IFERROR(INDEX(Activos!$B$3:$C$16, MATCH(C500,Activos!$B$3:$B$16),2),"")</f>
        <v/>
      </c>
      <c r="C500" s="27"/>
      <c r="D500" s="27"/>
      <c r="E500" s="25"/>
      <c r="F500" s="26" t="str">
        <f>IF(E500='Tablas AR'!$B$4,1,IF('Análisis de Riesgos'!E500='Tablas AR'!$B$5,2,IF('Análisis de Riesgos'!E500='Tablas AR'!$B$6,3,"")))</f>
        <v/>
      </c>
      <c r="G500" s="25"/>
      <c r="H500" s="26" t="str">
        <f>IF(G500='Tablas AR'!$B$10,1,IF('Análisis de Riesgos'!G500='Tablas AR'!$B$11,2,IF('Análisis de Riesgos'!G500='Tablas AR'!$B$12,3,"")))</f>
        <v/>
      </c>
      <c r="I500" s="26" t="str">
        <f t="shared" si="7"/>
        <v/>
      </c>
    </row>
    <row r="501" spans="2:9" x14ac:dyDescent="0.25">
      <c r="B501" s="27" t="str">
        <f>IFERROR(INDEX(Activos!$B$3:$C$16, MATCH(C501,Activos!$B$3:$B$16),2),"")</f>
        <v/>
      </c>
      <c r="C501" s="27"/>
      <c r="D501" s="27"/>
      <c r="E501" s="25"/>
      <c r="F501" s="26" t="str">
        <f>IF(E501='Tablas AR'!$B$4,1,IF('Análisis de Riesgos'!E501='Tablas AR'!$B$5,2,IF('Análisis de Riesgos'!E501='Tablas AR'!$B$6,3,"")))</f>
        <v/>
      </c>
      <c r="G501" s="25"/>
      <c r="H501" s="26" t="str">
        <f>IF(G501='Tablas AR'!$B$10,1,IF('Análisis de Riesgos'!G501='Tablas AR'!$B$11,2,IF('Análisis de Riesgos'!G501='Tablas AR'!$B$12,3,"")))</f>
        <v/>
      </c>
      <c r="I501" s="26" t="str">
        <f t="shared" si="7"/>
        <v/>
      </c>
    </row>
    <row r="502" spans="2:9" x14ac:dyDescent="0.25">
      <c r="B502" s="27" t="str">
        <f>IFERROR(INDEX(Activos!$B$3:$C$16, MATCH(C502,Activos!$B$3:$B$16),2),"")</f>
        <v/>
      </c>
      <c r="C502" s="27"/>
      <c r="D502" s="27"/>
      <c r="E502" s="25"/>
      <c r="F502" s="26" t="str">
        <f>IF(E502='Tablas AR'!$B$4,1,IF('Análisis de Riesgos'!E502='Tablas AR'!$B$5,2,IF('Análisis de Riesgos'!E502='Tablas AR'!$B$6,3,"")))</f>
        <v/>
      </c>
      <c r="G502" s="25"/>
      <c r="H502" s="26" t="str">
        <f>IF(G502='Tablas AR'!$B$10,1,IF('Análisis de Riesgos'!G502='Tablas AR'!$B$11,2,IF('Análisis de Riesgos'!G502='Tablas AR'!$B$12,3,"")))</f>
        <v/>
      </c>
      <c r="I502" s="26" t="str">
        <f t="shared" si="7"/>
        <v/>
      </c>
    </row>
    <row r="503" spans="2:9" x14ac:dyDescent="0.25">
      <c r="B503" s="27" t="str">
        <f>IFERROR(INDEX(Activos!$B$3:$C$16, MATCH(C503,Activos!$B$3:$B$16),2),"")</f>
        <v/>
      </c>
      <c r="C503" s="27"/>
      <c r="D503" s="27"/>
      <c r="E503" s="25"/>
      <c r="F503" s="26" t="str">
        <f>IF(E503='Tablas AR'!$B$4,1,IF('Análisis de Riesgos'!E503='Tablas AR'!$B$5,2,IF('Análisis de Riesgos'!E503='Tablas AR'!$B$6,3,"")))</f>
        <v/>
      </c>
      <c r="G503" s="25"/>
      <c r="H503" s="26" t="str">
        <f>IF(G503='Tablas AR'!$B$10,1,IF('Análisis de Riesgos'!G503='Tablas AR'!$B$11,2,IF('Análisis de Riesgos'!G503='Tablas AR'!$B$12,3,"")))</f>
        <v/>
      </c>
      <c r="I503" s="26" t="str">
        <f t="shared" si="7"/>
        <v/>
      </c>
    </row>
    <row r="504" spans="2:9" x14ac:dyDescent="0.25">
      <c r="B504" s="27" t="str">
        <f>IFERROR(INDEX(Activos!$B$3:$C$16, MATCH(C504,Activos!$B$3:$B$16),2),"")</f>
        <v/>
      </c>
      <c r="C504" s="27"/>
      <c r="D504" s="27"/>
      <c r="E504" s="25"/>
      <c r="F504" s="26" t="str">
        <f>IF(E504='Tablas AR'!$B$4,1,IF('Análisis de Riesgos'!E504='Tablas AR'!$B$5,2,IF('Análisis de Riesgos'!E504='Tablas AR'!$B$6,3,"")))</f>
        <v/>
      </c>
      <c r="G504" s="25"/>
      <c r="H504" s="26" t="str">
        <f>IF(G504='Tablas AR'!$B$10,1,IF('Análisis de Riesgos'!G504='Tablas AR'!$B$11,2,IF('Análisis de Riesgos'!G504='Tablas AR'!$B$12,3,"")))</f>
        <v/>
      </c>
      <c r="I504" s="26" t="str">
        <f t="shared" si="7"/>
        <v/>
      </c>
    </row>
    <row r="505" spans="2:9" x14ac:dyDescent="0.25">
      <c r="B505" s="27" t="str">
        <f>IFERROR(INDEX(Activos!$B$3:$C$16, MATCH(C505,Activos!$B$3:$B$16),2),"")</f>
        <v/>
      </c>
      <c r="C505" s="27"/>
      <c r="D505" s="27"/>
      <c r="E505" s="25"/>
      <c r="F505" s="26" t="str">
        <f>IF(E505='Tablas AR'!$B$4,1,IF('Análisis de Riesgos'!E505='Tablas AR'!$B$5,2,IF('Análisis de Riesgos'!E505='Tablas AR'!$B$6,3,"")))</f>
        <v/>
      </c>
      <c r="G505" s="25"/>
      <c r="H505" s="26" t="str">
        <f>IF(G505='Tablas AR'!$B$10,1,IF('Análisis de Riesgos'!G505='Tablas AR'!$B$11,2,IF('Análisis de Riesgos'!G505='Tablas AR'!$B$12,3,"")))</f>
        <v/>
      </c>
      <c r="I505" s="26" t="str">
        <f t="shared" si="7"/>
        <v/>
      </c>
    </row>
    <row r="506" spans="2:9" x14ac:dyDescent="0.25">
      <c r="B506" s="27" t="str">
        <f>IFERROR(INDEX(Activos!$B$3:$C$16, MATCH(C506,Activos!$B$3:$B$16),2),"")</f>
        <v/>
      </c>
      <c r="C506" s="27"/>
      <c r="D506" s="27"/>
      <c r="E506" s="25"/>
      <c r="F506" s="26" t="str">
        <f>IF(E506='Tablas AR'!$B$4,1,IF('Análisis de Riesgos'!E506='Tablas AR'!$B$5,2,IF('Análisis de Riesgos'!E506='Tablas AR'!$B$6,3,"")))</f>
        <v/>
      </c>
      <c r="G506" s="25"/>
      <c r="H506" s="26" t="str">
        <f>IF(G506='Tablas AR'!$B$10,1,IF('Análisis de Riesgos'!G506='Tablas AR'!$B$11,2,IF('Análisis de Riesgos'!G506='Tablas AR'!$B$12,3,"")))</f>
        <v/>
      </c>
      <c r="I506" s="26" t="str">
        <f t="shared" si="7"/>
        <v/>
      </c>
    </row>
    <row r="507" spans="2:9" x14ac:dyDescent="0.25">
      <c r="B507" s="27" t="str">
        <f>IFERROR(INDEX(Activos!$B$3:$C$16, MATCH(C507,Activos!$B$3:$B$16),2),"")</f>
        <v/>
      </c>
      <c r="C507" s="27"/>
      <c r="D507" s="27"/>
      <c r="E507" s="25"/>
      <c r="F507" s="26" t="str">
        <f>IF(E507='Tablas AR'!$B$4,1,IF('Análisis de Riesgos'!E507='Tablas AR'!$B$5,2,IF('Análisis de Riesgos'!E507='Tablas AR'!$B$6,3,"")))</f>
        <v/>
      </c>
      <c r="G507" s="25"/>
      <c r="H507" s="26" t="str">
        <f>IF(G507='Tablas AR'!$B$10,1,IF('Análisis de Riesgos'!G507='Tablas AR'!$B$11,2,IF('Análisis de Riesgos'!G507='Tablas AR'!$B$12,3,"")))</f>
        <v/>
      </c>
      <c r="I507" s="26" t="str">
        <f t="shared" si="7"/>
        <v/>
      </c>
    </row>
    <row r="508" spans="2:9" x14ac:dyDescent="0.25">
      <c r="B508" s="27" t="str">
        <f>IFERROR(INDEX(Activos!$B$3:$C$16, MATCH(C508,Activos!$B$3:$B$16),2),"")</f>
        <v/>
      </c>
      <c r="C508" s="27"/>
      <c r="D508" s="27"/>
      <c r="E508" s="25"/>
      <c r="F508" s="26" t="str">
        <f>IF(E508='Tablas AR'!$B$4,1,IF('Análisis de Riesgos'!E508='Tablas AR'!$B$5,2,IF('Análisis de Riesgos'!E508='Tablas AR'!$B$6,3,"")))</f>
        <v/>
      </c>
      <c r="G508" s="25"/>
      <c r="H508" s="26" t="str">
        <f>IF(G508='Tablas AR'!$B$10,1,IF('Análisis de Riesgos'!G508='Tablas AR'!$B$11,2,IF('Análisis de Riesgos'!G508='Tablas AR'!$B$12,3,"")))</f>
        <v/>
      </c>
      <c r="I508" s="26" t="str">
        <f t="shared" si="7"/>
        <v/>
      </c>
    </row>
    <row r="509" spans="2:9" x14ac:dyDescent="0.25">
      <c r="B509" s="27" t="str">
        <f>IFERROR(INDEX(Activos!$B$3:$C$16, MATCH(C509,Activos!$B$3:$B$16),2),"")</f>
        <v/>
      </c>
      <c r="C509" s="27"/>
      <c r="D509" s="27"/>
      <c r="E509" s="25"/>
      <c r="F509" s="26" t="str">
        <f>IF(E509='Tablas AR'!$B$4,1,IF('Análisis de Riesgos'!E509='Tablas AR'!$B$5,2,IF('Análisis de Riesgos'!E509='Tablas AR'!$B$6,3,"")))</f>
        <v/>
      </c>
      <c r="G509" s="25"/>
      <c r="H509" s="26" t="str">
        <f>IF(G509='Tablas AR'!$B$10,1,IF('Análisis de Riesgos'!G509='Tablas AR'!$B$11,2,IF('Análisis de Riesgos'!G509='Tablas AR'!$B$12,3,"")))</f>
        <v/>
      </c>
      <c r="I509" s="26" t="str">
        <f t="shared" si="7"/>
        <v/>
      </c>
    </row>
    <row r="510" spans="2:9" x14ac:dyDescent="0.25">
      <c r="B510" s="27" t="str">
        <f>IFERROR(INDEX(Activos!$B$3:$C$16, MATCH(C510,Activos!$B$3:$B$16),2),"")</f>
        <v/>
      </c>
      <c r="C510" s="27"/>
      <c r="D510" s="27"/>
      <c r="E510" s="25"/>
      <c r="F510" s="26" t="str">
        <f>IF(E510='Tablas AR'!$B$4,1,IF('Análisis de Riesgos'!E510='Tablas AR'!$B$5,2,IF('Análisis de Riesgos'!E510='Tablas AR'!$B$6,3,"")))</f>
        <v/>
      </c>
      <c r="G510" s="25"/>
      <c r="H510" s="26" t="str">
        <f>IF(G510='Tablas AR'!$B$10,1,IF('Análisis de Riesgos'!G510='Tablas AR'!$B$11,2,IF('Análisis de Riesgos'!G510='Tablas AR'!$B$12,3,"")))</f>
        <v/>
      </c>
      <c r="I510" s="26" t="str">
        <f t="shared" si="7"/>
        <v/>
      </c>
    </row>
    <row r="511" spans="2:9" x14ac:dyDescent="0.25">
      <c r="B511" s="27" t="str">
        <f>IFERROR(INDEX(Activos!$B$3:$C$16, MATCH(C511,Activos!$B$3:$B$16),2),"")</f>
        <v/>
      </c>
      <c r="C511" s="27"/>
      <c r="D511" s="27"/>
      <c r="E511" s="25"/>
      <c r="F511" s="26" t="str">
        <f>IF(E511='Tablas AR'!$B$4,1,IF('Análisis de Riesgos'!E511='Tablas AR'!$B$5,2,IF('Análisis de Riesgos'!E511='Tablas AR'!$B$6,3,"")))</f>
        <v/>
      </c>
      <c r="G511" s="25"/>
      <c r="H511" s="26" t="str">
        <f>IF(G511='Tablas AR'!$B$10,1,IF('Análisis de Riesgos'!G511='Tablas AR'!$B$11,2,IF('Análisis de Riesgos'!G511='Tablas AR'!$B$12,3,"")))</f>
        <v/>
      </c>
      <c r="I511" s="26" t="str">
        <f t="shared" si="7"/>
        <v/>
      </c>
    </row>
    <row r="512" spans="2:9" x14ac:dyDescent="0.25">
      <c r="B512" s="27" t="str">
        <f>IFERROR(INDEX(Activos!$B$3:$C$16, MATCH(C512,Activos!$B$3:$B$16),2),"")</f>
        <v/>
      </c>
      <c r="C512" s="27"/>
      <c r="D512" s="27"/>
      <c r="E512" s="25"/>
      <c r="F512" s="26" t="str">
        <f>IF(E512='Tablas AR'!$B$4,1,IF('Análisis de Riesgos'!E512='Tablas AR'!$B$5,2,IF('Análisis de Riesgos'!E512='Tablas AR'!$B$6,3,"")))</f>
        <v/>
      </c>
      <c r="G512" s="25"/>
      <c r="H512" s="26" t="str">
        <f>IF(G512='Tablas AR'!$B$10,1,IF('Análisis de Riesgos'!G512='Tablas AR'!$B$11,2,IF('Análisis de Riesgos'!G512='Tablas AR'!$B$12,3,"")))</f>
        <v/>
      </c>
      <c r="I512" s="26" t="str">
        <f t="shared" si="7"/>
        <v/>
      </c>
    </row>
    <row r="513" spans="2:9" x14ac:dyDescent="0.25">
      <c r="B513" s="27" t="str">
        <f>IFERROR(INDEX(Activos!$B$3:$C$16, MATCH(C513,Activos!$B$3:$B$16),2),"")</f>
        <v/>
      </c>
      <c r="C513" s="27"/>
      <c r="D513" s="27"/>
      <c r="E513" s="25"/>
      <c r="F513" s="26" t="str">
        <f>IF(E513='Tablas AR'!$B$4,1,IF('Análisis de Riesgos'!E513='Tablas AR'!$B$5,2,IF('Análisis de Riesgos'!E513='Tablas AR'!$B$6,3,"")))</f>
        <v/>
      </c>
      <c r="G513" s="25"/>
      <c r="H513" s="26" t="str">
        <f>IF(G513='Tablas AR'!$B$10,1,IF('Análisis de Riesgos'!G513='Tablas AR'!$B$11,2,IF('Análisis de Riesgos'!G513='Tablas AR'!$B$12,3,"")))</f>
        <v/>
      </c>
      <c r="I513" s="26" t="str">
        <f t="shared" si="7"/>
        <v/>
      </c>
    </row>
    <row r="514" spans="2:9" x14ac:dyDescent="0.25">
      <c r="B514" s="27" t="str">
        <f>IFERROR(INDEX(Activos!$B$3:$C$16, MATCH(C514,Activos!$B$3:$B$16),2),"")</f>
        <v/>
      </c>
      <c r="C514" s="27"/>
      <c r="D514" s="27"/>
      <c r="E514" s="25"/>
      <c r="F514" s="26" t="str">
        <f>IF(E514='Tablas AR'!$B$4,1,IF('Análisis de Riesgos'!E514='Tablas AR'!$B$5,2,IF('Análisis de Riesgos'!E514='Tablas AR'!$B$6,3,"")))</f>
        <v/>
      </c>
      <c r="G514" s="25"/>
      <c r="H514" s="26" t="str">
        <f>IF(G514='Tablas AR'!$B$10,1,IF('Análisis de Riesgos'!G514='Tablas AR'!$B$11,2,IF('Análisis de Riesgos'!G514='Tablas AR'!$B$12,3,"")))</f>
        <v/>
      </c>
      <c r="I514" s="26" t="str">
        <f t="shared" si="7"/>
        <v/>
      </c>
    </row>
    <row r="515" spans="2:9" x14ac:dyDescent="0.25">
      <c r="B515" s="27" t="str">
        <f>IFERROR(INDEX(Activos!$B$3:$C$16, MATCH(C515,Activos!$B$3:$B$16),2),"")</f>
        <v/>
      </c>
      <c r="C515" s="27"/>
      <c r="D515" s="27"/>
      <c r="E515" s="25"/>
      <c r="F515" s="26" t="str">
        <f>IF(E515='Tablas AR'!$B$4,1,IF('Análisis de Riesgos'!E515='Tablas AR'!$B$5,2,IF('Análisis de Riesgos'!E515='Tablas AR'!$B$6,3,"")))</f>
        <v/>
      </c>
      <c r="G515" s="25"/>
      <c r="H515" s="26" t="str">
        <f>IF(G515='Tablas AR'!$B$10,1,IF('Análisis de Riesgos'!G515='Tablas AR'!$B$11,2,IF('Análisis de Riesgos'!G515='Tablas AR'!$B$12,3,"")))</f>
        <v/>
      </c>
      <c r="I515" s="26" t="str">
        <f t="shared" si="7"/>
        <v/>
      </c>
    </row>
    <row r="516" spans="2:9" x14ac:dyDescent="0.25">
      <c r="B516" s="27" t="str">
        <f>IFERROR(INDEX(Activos!$B$3:$C$16, MATCH(C516,Activos!$B$3:$B$16),2),"")</f>
        <v/>
      </c>
      <c r="C516" s="27"/>
      <c r="D516" s="27"/>
      <c r="E516" s="25"/>
      <c r="F516" s="26" t="str">
        <f>IF(E516='Tablas AR'!$B$4,1,IF('Análisis de Riesgos'!E516='Tablas AR'!$B$5,2,IF('Análisis de Riesgos'!E516='Tablas AR'!$B$6,3,"")))</f>
        <v/>
      </c>
      <c r="G516" s="25"/>
      <c r="H516" s="26" t="str">
        <f>IF(G516='Tablas AR'!$B$10,1,IF('Análisis de Riesgos'!G516='Tablas AR'!$B$11,2,IF('Análisis de Riesgos'!G516='Tablas AR'!$B$12,3,"")))</f>
        <v/>
      </c>
      <c r="I516" s="26" t="str">
        <f t="shared" ref="I516:I579" si="8" xml:space="preserve"> IFERROR(F516*H516,"")</f>
        <v/>
      </c>
    </row>
    <row r="517" spans="2:9" x14ac:dyDescent="0.25">
      <c r="B517" s="27" t="str">
        <f>IFERROR(INDEX(Activos!$B$3:$C$16, MATCH(C517,Activos!$B$3:$B$16),2),"")</f>
        <v/>
      </c>
      <c r="C517" s="27"/>
      <c r="D517" s="27"/>
      <c r="E517" s="25"/>
      <c r="F517" s="26" t="str">
        <f>IF(E517='Tablas AR'!$B$4,1,IF('Análisis de Riesgos'!E517='Tablas AR'!$B$5,2,IF('Análisis de Riesgos'!E517='Tablas AR'!$B$6,3,"")))</f>
        <v/>
      </c>
      <c r="G517" s="25"/>
      <c r="H517" s="26" t="str">
        <f>IF(G517='Tablas AR'!$B$10,1,IF('Análisis de Riesgos'!G517='Tablas AR'!$B$11,2,IF('Análisis de Riesgos'!G517='Tablas AR'!$B$12,3,"")))</f>
        <v/>
      </c>
      <c r="I517" s="26" t="str">
        <f t="shared" si="8"/>
        <v/>
      </c>
    </row>
    <row r="518" spans="2:9" x14ac:dyDescent="0.25">
      <c r="B518" s="27" t="str">
        <f>IFERROR(INDEX(Activos!$B$3:$C$16, MATCH(C518,Activos!$B$3:$B$16),2),"")</f>
        <v/>
      </c>
      <c r="C518" s="27"/>
      <c r="D518" s="27"/>
      <c r="E518" s="25"/>
      <c r="F518" s="26" t="str">
        <f>IF(E518='Tablas AR'!$B$4,1,IF('Análisis de Riesgos'!E518='Tablas AR'!$B$5,2,IF('Análisis de Riesgos'!E518='Tablas AR'!$B$6,3,"")))</f>
        <v/>
      </c>
      <c r="G518" s="25"/>
      <c r="H518" s="26" t="str">
        <f>IF(G518='Tablas AR'!$B$10,1,IF('Análisis de Riesgos'!G518='Tablas AR'!$B$11,2,IF('Análisis de Riesgos'!G518='Tablas AR'!$B$12,3,"")))</f>
        <v/>
      </c>
      <c r="I518" s="26" t="str">
        <f t="shared" si="8"/>
        <v/>
      </c>
    </row>
    <row r="519" spans="2:9" x14ac:dyDescent="0.25">
      <c r="B519" s="27" t="str">
        <f>IFERROR(INDEX(Activos!$B$3:$C$16, MATCH(C519,Activos!$B$3:$B$16),2),"")</f>
        <v/>
      </c>
      <c r="C519" s="27"/>
      <c r="D519" s="27"/>
      <c r="E519" s="25"/>
      <c r="F519" s="26" t="str">
        <f>IF(E519='Tablas AR'!$B$4,1,IF('Análisis de Riesgos'!E519='Tablas AR'!$B$5,2,IF('Análisis de Riesgos'!E519='Tablas AR'!$B$6,3,"")))</f>
        <v/>
      </c>
      <c r="G519" s="25"/>
      <c r="H519" s="26" t="str">
        <f>IF(G519='Tablas AR'!$B$10,1,IF('Análisis de Riesgos'!G519='Tablas AR'!$B$11,2,IF('Análisis de Riesgos'!G519='Tablas AR'!$B$12,3,"")))</f>
        <v/>
      </c>
      <c r="I519" s="26" t="str">
        <f t="shared" si="8"/>
        <v/>
      </c>
    </row>
    <row r="520" spans="2:9" x14ac:dyDescent="0.25">
      <c r="B520" s="27" t="str">
        <f>IFERROR(INDEX(Activos!$B$3:$C$16, MATCH(C520,Activos!$B$3:$B$16),2),"")</f>
        <v/>
      </c>
      <c r="C520" s="27"/>
      <c r="D520" s="27"/>
      <c r="E520" s="25"/>
      <c r="F520" s="26" t="str">
        <f>IF(E520='Tablas AR'!$B$4,1,IF('Análisis de Riesgos'!E520='Tablas AR'!$B$5,2,IF('Análisis de Riesgos'!E520='Tablas AR'!$B$6,3,"")))</f>
        <v/>
      </c>
      <c r="G520" s="25"/>
      <c r="H520" s="26" t="str">
        <f>IF(G520='Tablas AR'!$B$10,1,IF('Análisis de Riesgos'!G520='Tablas AR'!$B$11,2,IF('Análisis de Riesgos'!G520='Tablas AR'!$B$12,3,"")))</f>
        <v/>
      </c>
      <c r="I520" s="26" t="str">
        <f t="shared" si="8"/>
        <v/>
      </c>
    </row>
    <row r="521" spans="2:9" x14ac:dyDescent="0.25">
      <c r="B521" s="27" t="str">
        <f>IFERROR(INDEX(Activos!$B$3:$C$16, MATCH(C521,Activos!$B$3:$B$16),2),"")</f>
        <v/>
      </c>
      <c r="C521" s="27"/>
      <c r="D521" s="27"/>
      <c r="E521" s="25"/>
      <c r="F521" s="26" t="str">
        <f>IF(E521='Tablas AR'!$B$4,1,IF('Análisis de Riesgos'!E521='Tablas AR'!$B$5,2,IF('Análisis de Riesgos'!E521='Tablas AR'!$B$6,3,"")))</f>
        <v/>
      </c>
      <c r="G521" s="25"/>
      <c r="H521" s="26" t="str">
        <f>IF(G521='Tablas AR'!$B$10,1,IF('Análisis de Riesgos'!G521='Tablas AR'!$B$11,2,IF('Análisis de Riesgos'!G521='Tablas AR'!$B$12,3,"")))</f>
        <v/>
      </c>
      <c r="I521" s="26" t="str">
        <f t="shared" si="8"/>
        <v/>
      </c>
    </row>
    <row r="522" spans="2:9" x14ac:dyDescent="0.25">
      <c r="B522" s="27" t="str">
        <f>IFERROR(INDEX(Activos!$B$3:$C$16, MATCH(C522,Activos!$B$3:$B$16),2),"")</f>
        <v/>
      </c>
      <c r="C522" s="27"/>
      <c r="D522" s="27"/>
      <c r="E522" s="25"/>
      <c r="F522" s="26" t="str">
        <f>IF(E522='Tablas AR'!$B$4,1,IF('Análisis de Riesgos'!E522='Tablas AR'!$B$5,2,IF('Análisis de Riesgos'!E522='Tablas AR'!$B$6,3,"")))</f>
        <v/>
      </c>
      <c r="G522" s="25"/>
      <c r="H522" s="26" t="str">
        <f>IF(G522='Tablas AR'!$B$10,1,IF('Análisis de Riesgos'!G522='Tablas AR'!$B$11,2,IF('Análisis de Riesgos'!G522='Tablas AR'!$B$12,3,"")))</f>
        <v/>
      </c>
      <c r="I522" s="26" t="str">
        <f t="shared" si="8"/>
        <v/>
      </c>
    </row>
    <row r="523" spans="2:9" x14ac:dyDescent="0.25">
      <c r="B523" s="27" t="str">
        <f>IFERROR(INDEX(Activos!$B$3:$C$16, MATCH(C523,Activos!$B$3:$B$16),2),"")</f>
        <v/>
      </c>
      <c r="C523" s="27"/>
      <c r="D523" s="27"/>
      <c r="E523" s="25"/>
      <c r="F523" s="26" t="str">
        <f>IF(E523='Tablas AR'!$B$4,1,IF('Análisis de Riesgos'!E523='Tablas AR'!$B$5,2,IF('Análisis de Riesgos'!E523='Tablas AR'!$B$6,3,"")))</f>
        <v/>
      </c>
      <c r="G523" s="25"/>
      <c r="H523" s="26" t="str">
        <f>IF(G523='Tablas AR'!$B$10,1,IF('Análisis de Riesgos'!G523='Tablas AR'!$B$11,2,IF('Análisis de Riesgos'!G523='Tablas AR'!$B$12,3,"")))</f>
        <v/>
      </c>
      <c r="I523" s="26" t="str">
        <f t="shared" si="8"/>
        <v/>
      </c>
    </row>
    <row r="524" spans="2:9" x14ac:dyDescent="0.25">
      <c r="B524" s="27" t="str">
        <f>IFERROR(INDEX(Activos!$B$3:$C$16, MATCH(C524,Activos!$B$3:$B$16),2),"")</f>
        <v/>
      </c>
      <c r="C524" s="27"/>
      <c r="D524" s="27"/>
      <c r="E524" s="25"/>
      <c r="F524" s="26" t="str">
        <f>IF(E524='Tablas AR'!$B$4,1,IF('Análisis de Riesgos'!E524='Tablas AR'!$B$5,2,IF('Análisis de Riesgos'!E524='Tablas AR'!$B$6,3,"")))</f>
        <v/>
      </c>
      <c r="G524" s="25"/>
      <c r="H524" s="26" t="str">
        <f>IF(G524='Tablas AR'!$B$10,1,IF('Análisis de Riesgos'!G524='Tablas AR'!$B$11,2,IF('Análisis de Riesgos'!G524='Tablas AR'!$B$12,3,"")))</f>
        <v/>
      </c>
      <c r="I524" s="26" t="str">
        <f t="shared" si="8"/>
        <v/>
      </c>
    </row>
    <row r="525" spans="2:9" x14ac:dyDescent="0.25">
      <c r="B525" s="27" t="str">
        <f>IFERROR(INDEX(Activos!$B$3:$C$16, MATCH(C525,Activos!$B$3:$B$16),2),"")</f>
        <v/>
      </c>
      <c r="C525" s="27"/>
      <c r="D525" s="27"/>
      <c r="E525" s="25"/>
      <c r="F525" s="26" t="str">
        <f>IF(E525='Tablas AR'!$B$4,1,IF('Análisis de Riesgos'!E525='Tablas AR'!$B$5,2,IF('Análisis de Riesgos'!E525='Tablas AR'!$B$6,3,"")))</f>
        <v/>
      </c>
      <c r="G525" s="25"/>
      <c r="H525" s="26" t="str">
        <f>IF(G525='Tablas AR'!$B$10,1,IF('Análisis de Riesgos'!G525='Tablas AR'!$B$11,2,IF('Análisis de Riesgos'!G525='Tablas AR'!$B$12,3,"")))</f>
        <v/>
      </c>
      <c r="I525" s="26" t="str">
        <f t="shared" si="8"/>
        <v/>
      </c>
    </row>
    <row r="526" spans="2:9" x14ac:dyDescent="0.25">
      <c r="B526" s="27" t="str">
        <f>IFERROR(INDEX(Activos!$B$3:$C$16, MATCH(C526,Activos!$B$3:$B$16),2),"")</f>
        <v/>
      </c>
      <c r="C526" s="27"/>
      <c r="D526" s="27"/>
      <c r="E526" s="25"/>
      <c r="F526" s="26" t="str">
        <f>IF(E526='Tablas AR'!$B$4,1,IF('Análisis de Riesgos'!E526='Tablas AR'!$B$5,2,IF('Análisis de Riesgos'!E526='Tablas AR'!$B$6,3,"")))</f>
        <v/>
      </c>
      <c r="G526" s="25"/>
      <c r="H526" s="26" t="str">
        <f>IF(G526='Tablas AR'!$B$10,1,IF('Análisis de Riesgos'!G526='Tablas AR'!$B$11,2,IF('Análisis de Riesgos'!G526='Tablas AR'!$B$12,3,"")))</f>
        <v/>
      </c>
      <c r="I526" s="26" t="str">
        <f t="shared" si="8"/>
        <v/>
      </c>
    </row>
    <row r="527" spans="2:9" x14ac:dyDescent="0.25">
      <c r="B527" s="27" t="str">
        <f>IFERROR(INDEX(Activos!$B$3:$C$16, MATCH(C527,Activos!$B$3:$B$16),2),"")</f>
        <v/>
      </c>
      <c r="C527" s="27"/>
      <c r="D527" s="27"/>
      <c r="E527" s="25"/>
      <c r="F527" s="26" t="str">
        <f>IF(E527='Tablas AR'!$B$4,1,IF('Análisis de Riesgos'!E527='Tablas AR'!$B$5,2,IF('Análisis de Riesgos'!E527='Tablas AR'!$B$6,3,"")))</f>
        <v/>
      </c>
      <c r="G527" s="25"/>
      <c r="H527" s="26" t="str">
        <f>IF(G527='Tablas AR'!$B$10,1,IF('Análisis de Riesgos'!G527='Tablas AR'!$B$11,2,IF('Análisis de Riesgos'!G527='Tablas AR'!$B$12,3,"")))</f>
        <v/>
      </c>
      <c r="I527" s="26" t="str">
        <f t="shared" si="8"/>
        <v/>
      </c>
    </row>
    <row r="528" spans="2:9" x14ac:dyDescent="0.25">
      <c r="B528" s="27" t="str">
        <f>IFERROR(INDEX(Activos!$B$3:$C$16, MATCH(C528,Activos!$B$3:$B$16),2),"")</f>
        <v/>
      </c>
      <c r="C528" s="27"/>
      <c r="D528" s="27"/>
      <c r="E528" s="25"/>
      <c r="F528" s="26" t="str">
        <f>IF(E528='Tablas AR'!$B$4,1,IF('Análisis de Riesgos'!E528='Tablas AR'!$B$5,2,IF('Análisis de Riesgos'!E528='Tablas AR'!$B$6,3,"")))</f>
        <v/>
      </c>
      <c r="G528" s="25"/>
      <c r="H528" s="26" t="str">
        <f>IF(G528='Tablas AR'!$B$10,1,IF('Análisis de Riesgos'!G528='Tablas AR'!$B$11,2,IF('Análisis de Riesgos'!G528='Tablas AR'!$B$12,3,"")))</f>
        <v/>
      </c>
      <c r="I528" s="26" t="str">
        <f t="shared" si="8"/>
        <v/>
      </c>
    </row>
    <row r="529" spans="2:9" x14ac:dyDescent="0.25">
      <c r="B529" s="27" t="str">
        <f>IFERROR(INDEX(Activos!$B$3:$C$16, MATCH(C529,Activos!$B$3:$B$16),2),"")</f>
        <v/>
      </c>
      <c r="C529" s="27"/>
      <c r="D529" s="27"/>
      <c r="E529" s="25"/>
      <c r="F529" s="26" t="str">
        <f>IF(E529='Tablas AR'!$B$4,1,IF('Análisis de Riesgos'!E529='Tablas AR'!$B$5,2,IF('Análisis de Riesgos'!E529='Tablas AR'!$B$6,3,"")))</f>
        <v/>
      </c>
      <c r="G529" s="25"/>
      <c r="H529" s="26" t="str">
        <f>IF(G529='Tablas AR'!$B$10,1,IF('Análisis de Riesgos'!G529='Tablas AR'!$B$11,2,IF('Análisis de Riesgos'!G529='Tablas AR'!$B$12,3,"")))</f>
        <v/>
      </c>
      <c r="I529" s="26" t="str">
        <f t="shared" si="8"/>
        <v/>
      </c>
    </row>
    <row r="530" spans="2:9" x14ac:dyDescent="0.25">
      <c r="B530" s="27" t="str">
        <f>IFERROR(INDEX(Activos!$B$3:$C$16, MATCH(C530,Activos!$B$3:$B$16),2),"")</f>
        <v/>
      </c>
      <c r="C530" s="27"/>
      <c r="D530" s="27"/>
      <c r="E530" s="25"/>
      <c r="F530" s="26" t="str">
        <f>IF(E530='Tablas AR'!$B$4,1,IF('Análisis de Riesgos'!E530='Tablas AR'!$B$5,2,IF('Análisis de Riesgos'!E530='Tablas AR'!$B$6,3,"")))</f>
        <v/>
      </c>
      <c r="G530" s="25"/>
      <c r="H530" s="26" t="str">
        <f>IF(G530='Tablas AR'!$B$10,1,IF('Análisis de Riesgos'!G530='Tablas AR'!$B$11,2,IF('Análisis de Riesgos'!G530='Tablas AR'!$B$12,3,"")))</f>
        <v/>
      </c>
      <c r="I530" s="26" t="str">
        <f t="shared" si="8"/>
        <v/>
      </c>
    </row>
    <row r="531" spans="2:9" x14ac:dyDescent="0.25">
      <c r="B531" s="27" t="str">
        <f>IFERROR(INDEX(Activos!$B$3:$C$16, MATCH(C531,Activos!$B$3:$B$16),2),"")</f>
        <v/>
      </c>
      <c r="C531" s="27"/>
      <c r="D531" s="27"/>
      <c r="E531" s="25"/>
      <c r="F531" s="26" t="str">
        <f>IF(E531='Tablas AR'!$B$4,1,IF('Análisis de Riesgos'!E531='Tablas AR'!$B$5,2,IF('Análisis de Riesgos'!E531='Tablas AR'!$B$6,3,"")))</f>
        <v/>
      </c>
      <c r="G531" s="25"/>
      <c r="H531" s="26" t="str">
        <f>IF(G531='Tablas AR'!$B$10,1,IF('Análisis de Riesgos'!G531='Tablas AR'!$B$11,2,IF('Análisis de Riesgos'!G531='Tablas AR'!$B$12,3,"")))</f>
        <v/>
      </c>
      <c r="I531" s="26" t="str">
        <f t="shared" si="8"/>
        <v/>
      </c>
    </row>
    <row r="532" spans="2:9" x14ac:dyDescent="0.25">
      <c r="B532" s="27" t="str">
        <f>IFERROR(INDEX(Activos!$B$3:$C$16, MATCH(C532,Activos!$B$3:$B$16),2),"")</f>
        <v/>
      </c>
      <c r="C532" s="27"/>
      <c r="D532" s="27"/>
      <c r="E532" s="25"/>
      <c r="F532" s="26" t="str">
        <f>IF(E532='Tablas AR'!$B$4,1,IF('Análisis de Riesgos'!E532='Tablas AR'!$B$5,2,IF('Análisis de Riesgos'!E532='Tablas AR'!$B$6,3,"")))</f>
        <v/>
      </c>
      <c r="G532" s="25"/>
      <c r="H532" s="26" t="str">
        <f>IF(G532='Tablas AR'!$B$10,1,IF('Análisis de Riesgos'!G532='Tablas AR'!$B$11,2,IF('Análisis de Riesgos'!G532='Tablas AR'!$B$12,3,"")))</f>
        <v/>
      </c>
      <c r="I532" s="26" t="str">
        <f t="shared" si="8"/>
        <v/>
      </c>
    </row>
    <row r="533" spans="2:9" x14ac:dyDescent="0.25">
      <c r="B533" s="27" t="str">
        <f>IFERROR(INDEX(Activos!$B$3:$C$16, MATCH(C533,Activos!$B$3:$B$16),2),"")</f>
        <v/>
      </c>
      <c r="C533" s="27"/>
      <c r="D533" s="27"/>
      <c r="E533" s="25"/>
      <c r="F533" s="26" t="str">
        <f>IF(E533='Tablas AR'!$B$4,1,IF('Análisis de Riesgos'!E533='Tablas AR'!$B$5,2,IF('Análisis de Riesgos'!E533='Tablas AR'!$B$6,3,"")))</f>
        <v/>
      </c>
      <c r="G533" s="25"/>
      <c r="H533" s="26" t="str">
        <f>IF(G533='Tablas AR'!$B$10,1,IF('Análisis de Riesgos'!G533='Tablas AR'!$B$11,2,IF('Análisis de Riesgos'!G533='Tablas AR'!$B$12,3,"")))</f>
        <v/>
      </c>
      <c r="I533" s="26" t="str">
        <f t="shared" si="8"/>
        <v/>
      </c>
    </row>
    <row r="534" spans="2:9" x14ac:dyDescent="0.25">
      <c r="B534" s="27" t="str">
        <f>IFERROR(INDEX(Activos!$B$3:$C$16, MATCH(C534,Activos!$B$3:$B$16),2),"")</f>
        <v/>
      </c>
      <c r="C534" s="27"/>
      <c r="D534" s="27"/>
      <c r="E534" s="25"/>
      <c r="F534" s="26" t="str">
        <f>IF(E534='Tablas AR'!$B$4,1,IF('Análisis de Riesgos'!E534='Tablas AR'!$B$5,2,IF('Análisis de Riesgos'!E534='Tablas AR'!$B$6,3,"")))</f>
        <v/>
      </c>
      <c r="G534" s="25"/>
      <c r="H534" s="26" t="str">
        <f>IF(G534='Tablas AR'!$B$10,1,IF('Análisis de Riesgos'!G534='Tablas AR'!$B$11,2,IF('Análisis de Riesgos'!G534='Tablas AR'!$B$12,3,"")))</f>
        <v/>
      </c>
      <c r="I534" s="26" t="str">
        <f t="shared" si="8"/>
        <v/>
      </c>
    </row>
    <row r="535" spans="2:9" x14ac:dyDescent="0.25">
      <c r="B535" s="27" t="str">
        <f>IFERROR(INDEX(Activos!$B$3:$C$16, MATCH(C535,Activos!$B$3:$B$16),2),"")</f>
        <v/>
      </c>
      <c r="C535" s="27"/>
      <c r="D535" s="27"/>
      <c r="E535" s="25"/>
      <c r="F535" s="26" t="str">
        <f>IF(E535='Tablas AR'!$B$4,1,IF('Análisis de Riesgos'!E535='Tablas AR'!$B$5,2,IF('Análisis de Riesgos'!E535='Tablas AR'!$B$6,3,"")))</f>
        <v/>
      </c>
      <c r="G535" s="25"/>
      <c r="H535" s="26" t="str">
        <f>IF(G535='Tablas AR'!$B$10,1,IF('Análisis de Riesgos'!G535='Tablas AR'!$B$11,2,IF('Análisis de Riesgos'!G535='Tablas AR'!$B$12,3,"")))</f>
        <v/>
      </c>
      <c r="I535" s="26" t="str">
        <f t="shared" si="8"/>
        <v/>
      </c>
    </row>
    <row r="536" spans="2:9" x14ac:dyDescent="0.25">
      <c r="B536" s="27" t="str">
        <f>IFERROR(INDEX(Activos!$B$3:$C$16, MATCH(C536,Activos!$B$3:$B$16),2),"")</f>
        <v/>
      </c>
      <c r="C536" s="27"/>
      <c r="D536" s="27"/>
      <c r="E536" s="25"/>
      <c r="F536" s="26" t="str">
        <f>IF(E536='Tablas AR'!$B$4,1,IF('Análisis de Riesgos'!E536='Tablas AR'!$B$5,2,IF('Análisis de Riesgos'!E536='Tablas AR'!$B$6,3,"")))</f>
        <v/>
      </c>
      <c r="G536" s="25"/>
      <c r="H536" s="26" t="str">
        <f>IF(G536='Tablas AR'!$B$10,1,IF('Análisis de Riesgos'!G536='Tablas AR'!$B$11,2,IF('Análisis de Riesgos'!G536='Tablas AR'!$B$12,3,"")))</f>
        <v/>
      </c>
      <c r="I536" s="26" t="str">
        <f t="shared" si="8"/>
        <v/>
      </c>
    </row>
    <row r="537" spans="2:9" x14ac:dyDescent="0.25">
      <c r="B537" s="27" t="str">
        <f>IFERROR(INDEX(Activos!$B$3:$C$16, MATCH(C537,Activos!$B$3:$B$16),2),"")</f>
        <v/>
      </c>
      <c r="C537" s="27"/>
      <c r="D537" s="27"/>
      <c r="E537" s="25"/>
      <c r="F537" s="26" t="str">
        <f>IF(E537='Tablas AR'!$B$4,1,IF('Análisis de Riesgos'!E537='Tablas AR'!$B$5,2,IF('Análisis de Riesgos'!E537='Tablas AR'!$B$6,3,"")))</f>
        <v/>
      </c>
      <c r="G537" s="25"/>
      <c r="H537" s="26" t="str">
        <f>IF(G537='Tablas AR'!$B$10,1,IF('Análisis de Riesgos'!G537='Tablas AR'!$B$11,2,IF('Análisis de Riesgos'!G537='Tablas AR'!$B$12,3,"")))</f>
        <v/>
      </c>
      <c r="I537" s="26" t="str">
        <f t="shared" si="8"/>
        <v/>
      </c>
    </row>
    <row r="538" spans="2:9" x14ac:dyDescent="0.25">
      <c r="B538" s="27" t="str">
        <f>IFERROR(INDEX(Activos!$B$3:$C$16, MATCH(C538,Activos!$B$3:$B$16),2),"")</f>
        <v/>
      </c>
      <c r="C538" s="27"/>
      <c r="D538" s="27"/>
      <c r="E538" s="25"/>
      <c r="F538" s="26" t="str">
        <f>IF(E538='Tablas AR'!$B$4,1,IF('Análisis de Riesgos'!E538='Tablas AR'!$B$5,2,IF('Análisis de Riesgos'!E538='Tablas AR'!$B$6,3,"")))</f>
        <v/>
      </c>
      <c r="G538" s="25"/>
      <c r="H538" s="26" t="str">
        <f>IF(G538='Tablas AR'!$B$10,1,IF('Análisis de Riesgos'!G538='Tablas AR'!$B$11,2,IF('Análisis de Riesgos'!G538='Tablas AR'!$B$12,3,"")))</f>
        <v/>
      </c>
      <c r="I538" s="26" t="str">
        <f t="shared" si="8"/>
        <v/>
      </c>
    </row>
    <row r="539" spans="2:9" x14ac:dyDescent="0.25">
      <c r="B539" s="27" t="str">
        <f>IFERROR(INDEX(Activos!$B$3:$C$16, MATCH(C539,Activos!$B$3:$B$16),2),"")</f>
        <v/>
      </c>
      <c r="C539" s="27"/>
      <c r="D539" s="27"/>
      <c r="E539" s="25"/>
      <c r="F539" s="26" t="str">
        <f>IF(E539='Tablas AR'!$B$4,1,IF('Análisis de Riesgos'!E539='Tablas AR'!$B$5,2,IF('Análisis de Riesgos'!E539='Tablas AR'!$B$6,3,"")))</f>
        <v/>
      </c>
      <c r="G539" s="25"/>
      <c r="H539" s="26" t="str">
        <f>IF(G539='Tablas AR'!$B$10,1,IF('Análisis de Riesgos'!G539='Tablas AR'!$B$11,2,IF('Análisis de Riesgos'!G539='Tablas AR'!$B$12,3,"")))</f>
        <v/>
      </c>
      <c r="I539" s="26" t="str">
        <f t="shared" si="8"/>
        <v/>
      </c>
    </row>
    <row r="540" spans="2:9" x14ac:dyDescent="0.25">
      <c r="B540" s="27" t="str">
        <f>IFERROR(INDEX(Activos!$B$3:$C$16, MATCH(C540,Activos!$B$3:$B$16),2),"")</f>
        <v/>
      </c>
      <c r="C540" s="27"/>
      <c r="D540" s="27"/>
      <c r="E540" s="25"/>
      <c r="F540" s="26" t="str">
        <f>IF(E540='Tablas AR'!$B$4,1,IF('Análisis de Riesgos'!E540='Tablas AR'!$B$5,2,IF('Análisis de Riesgos'!E540='Tablas AR'!$B$6,3,"")))</f>
        <v/>
      </c>
      <c r="G540" s="25"/>
      <c r="H540" s="26" t="str">
        <f>IF(G540='Tablas AR'!$B$10,1,IF('Análisis de Riesgos'!G540='Tablas AR'!$B$11,2,IF('Análisis de Riesgos'!G540='Tablas AR'!$B$12,3,"")))</f>
        <v/>
      </c>
      <c r="I540" s="26" t="str">
        <f t="shared" si="8"/>
        <v/>
      </c>
    </row>
    <row r="541" spans="2:9" x14ac:dyDescent="0.25">
      <c r="B541" s="27" t="str">
        <f>IFERROR(INDEX(Activos!$B$3:$C$16, MATCH(C541,Activos!$B$3:$B$16),2),"")</f>
        <v/>
      </c>
      <c r="C541" s="27"/>
      <c r="D541" s="27"/>
      <c r="E541" s="25"/>
      <c r="F541" s="26" t="str">
        <f>IF(E541='Tablas AR'!$B$4,1,IF('Análisis de Riesgos'!E541='Tablas AR'!$B$5,2,IF('Análisis de Riesgos'!E541='Tablas AR'!$B$6,3,"")))</f>
        <v/>
      </c>
      <c r="G541" s="25"/>
      <c r="H541" s="26" t="str">
        <f>IF(G541='Tablas AR'!$B$10,1,IF('Análisis de Riesgos'!G541='Tablas AR'!$B$11,2,IF('Análisis de Riesgos'!G541='Tablas AR'!$B$12,3,"")))</f>
        <v/>
      </c>
      <c r="I541" s="26" t="str">
        <f t="shared" si="8"/>
        <v/>
      </c>
    </row>
    <row r="542" spans="2:9" x14ac:dyDescent="0.25">
      <c r="B542" s="27" t="str">
        <f>IFERROR(INDEX(Activos!$B$3:$C$16, MATCH(C542,Activos!$B$3:$B$16),2),"")</f>
        <v/>
      </c>
      <c r="C542" s="27"/>
      <c r="D542" s="27"/>
      <c r="E542" s="25"/>
      <c r="F542" s="26" t="str">
        <f>IF(E542='Tablas AR'!$B$4,1,IF('Análisis de Riesgos'!E542='Tablas AR'!$B$5,2,IF('Análisis de Riesgos'!E542='Tablas AR'!$B$6,3,"")))</f>
        <v/>
      </c>
      <c r="G542" s="25"/>
      <c r="H542" s="26" t="str">
        <f>IF(G542='Tablas AR'!$B$10,1,IF('Análisis de Riesgos'!G542='Tablas AR'!$B$11,2,IF('Análisis de Riesgos'!G542='Tablas AR'!$B$12,3,"")))</f>
        <v/>
      </c>
      <c r="I542" s="26" t="str">
        <f t="shared" si="8"/>
        <v/>
      </c>
    </row>
    <row r="543" spans="2:9" x14ac:dyDescent="0.25">
      <c r="B543" s="27" t="str">
        <f>IFERROR(INDEX(Activos!$B$3:$C$16, MATCH(C543,Activos!$B$3:$B$16),2),"")</f>
        <v/>
      </c>
      <c r="C543" s="27"/>
      <c r="D543" s="27"/>
      <c r="E543" s="25"/>
      <c r="F543" s="26" t="str">
        <f>IF(E543='Tablas AR'!$B$4,1,IF('Análisis de Riesgos'!E543='Tablas AR'!$B$5,2,IF('Análisis de Riesgos'!E543='Tablas AR'!$B$6,3,"")))</f>
        <v/>
      </c>
      <c r="G543" s="25"/>
      <c r="H543" s="26" t="str">
        <f>IF(G543='Tablas AR'!$B$10,1,IF('Análisis de Riesgos'!G543='Tablas AR'!$B$11,2,IF('Análisis de Riesgos'!G543='Tablas AR'!$B$12,3,"")))</f>
        <v/>
      </c>
      <c r="I543" s="26" t="str">
        <f t="shared" si="8"/>
        <v/>
      </c>
    </row>
    <row r="544" spans="2:9" x14ac:dyDescent="0.25">
      <c r="B544" s="27" t="str">
        <f>IFERROR(INDEX(Activos!$B$3:$C$16, MATCH(C544,Activos!$B$3:$B$16),2),"")</f>
        <v/>
      </c>
      <c r="C544" s="27"/>
      <c r="D544" s="27"/>
      <c r="E544" s="25"/>
      <c r="F544" s="26" t="str">
        <f>IF(E544='Tablas AR'!$B$4,1,IF('Análisis de Riesgos'!E544='Tablas AR'!$B$5,2,IF('Análisis de Riesgos'!E544='Tablas AR'!$B$6,3,"")))</f>
        <v/>
      </c>
      <c r="G544" s="25"/>
      <c r="H544" s="26" t="str">
        <f>IF(G544='Tablas AR'!$B$10,1,IF('Análisis de Riesgos'!G544='Tablas AR'!$B$11,2,IF('Análisis de Riesgos'!G544='Tablas AR'!$B$12,3,"")))</f>
        <v/>
      </c>
      <c r="I544" s="26" t="str">
        <f t="shared" si="8"/>
        <v/>
      </c>
    </row>
    <row r="545" spans="2:9" x14ac:dyDescent="0.25">
      <c r="B545" s="27" t="str">
        <f>IFERROR(INDEX(Activos!$B$3:$C$16, MATCH(C545,Activos!$B$3:$B$16),2),"")</f>
        <v/>
      </c>
      <c r="C545" s="27"/>
      <c r="D545" s="27"/>
      <c r="E545" s="25"/>
      <c r="F545" s="26" t="str">
        <f>IF(E545='Tablas AR'!$B$4,1,IF('Análisis de Riesgos'!E545='Tablas AR'!$B$5,2,IF('Análisis de Riesgos'!E545='Tablas AR'!$B$6,3,"")))</f>
        <v/>
      </c>
      <c r="G545" s="25"/>
      <c r="H545" s="26" t="str">
        <f>IF(G545='Tablas AR'!$B$10,1,IF('Análisis de Riesgos'!G545='Tablas AR'!$B$11,2,IF('Análisis de Riesgos'!G545='Tablas AR'!$B$12,3,"")))</f>
        <v/>
      </c>
      <c r="I545" s="26" t="str">
        <f t="shared" si="8"/>
        <v/>
      </c>
    </row>
    <row r="546" spans="2:9" x14ac:dyDescent="0.25">
      <c r="B546" s="27" t="str">
        <f>IFERROR(INDEX(Activos!$B$3:$C$16, MATCH(C546,Activos!$B$3:$B$16),2),"")</f>
        <v/>
      </c>
      <c r="C546" s="27"/>
      <c r="D546" s="27"/>
      <c r="E546" s="25"/>
      <c r="F546" s="26" t="str">
        <f>IF(E546='Tablas AR'!$B$4,1,IF('Análisis de Riesgos'!E546='Tablas AR'!$B$5,2,IF('Análisis de Riesgos'!E546='Tablas AR'!$B$6,3,"")))</f>
        <v/>
      </c>
      <c r="G546" s="25"/>
      <c r="H546" s="26" t="str">
        <f>IF(G546='Tablas AR'!$B$10,1,IF('Análisis de Riesgos'!G546='Tablas AR'!$B$11,2,IF('Análisis de Riesgos'!G546='Tablas AR'!$B$12,3,"")))</f>
        <v/>
      </c>
      <c r="I546" s="26" t="str">
        <f t="shared" si="8"/>
        <v/>
      </c>
    </row>
    <row r="547" spans="2:9" x14ac:dyDescent="0.25">
      <c r="B547" s="27" t="str">
        <f>IFERROR(INDEX(Activos!$B$3:$C$16, MATCH(C547,Activos!$B$3:$B$16),2),"")</f>
        <v/>
      </c>
      <c r="C547" s="27"/>
      <c r="D547" s="27"/>
      <c r="E547" s="25"/>
      <c r="F547" s="26" t="str">
        <f>IF(E547='Tablas AR'!$B$4,1,IF('Análisis de Riesgos'!E547='Tablas AR'!$B$5,2,IF('Análisis de Riesgos'!E547='Tablas AR'!$B$6,3,"")))</f>
        <v/>
      </c>
      <c r="G547" s="25"/>
      <c r="H547" s="26" t="str">
        <f>IF(G547='Tablas AR'!$B$10,1,IF('Análisis de Riesgos'!G547='Tablas AR'!$B$11,2,IF('Análisis de Riesgos'!G547='Tablas AR'!$B$12,3,"")))</f>
        <v/>
      </c>
      <c r="I547" s="26" t="str">
        <f t="shared" si="8"/>
        <v/>
      </c>
    </row>
    <row r="548" spans="2:9" x14ac:dyDescent="0.25">
      <c r="B548" s="27" t="str">
        <f>IFERROR(INDEX(Activos!$B$3:$C$16, MATCH(C548,Activos!$B$3:$B$16),2),"")</f>
        <v/>
      </c>
      <c r="C548" s="27"/>
      <c r="D548" s="27"/>
      <c r="E548" s="25"/>
      <c r="F548" s="26" t="str">
        <f>IF(E548='Tablas AR'!$B$4,1,IF('Análisis de Riesgos'!E548='Tablas AR'!$B$5,2,IF('Análisis de Riesgos'!E548='Tablas AR'!$B$6,3,"")))</f>
        <v/>
      </c>
      <c r="G548" s="25"/>
      <c r="H548" s="26" t="str">
        <f>IF(G548='Tablas AR'!$B$10,1,IF('Análisis de Riesgos'!G548='Tablas AR'!$B$11,2,IF('Análisis de Riesgos'!G548='Tablas AR'!$B$12,3,"")))</f>
        <v/>
      </c>
      <c r="I548" s="26" t="str">
        <f t="shared" si="8"/>
        <v/>
      </c>
    </row>
    <row r="549" spans="2:9" x14ac:dyDescent="0.25">
      <c r="B549" s="27" t="str">
        <f>IFERROR(INDEX(Activos!$B$3:$C$16, MATCH(C549,Activos!$B$3:$B$16),2),"")</f>
        <v/>
      </c>
      <c r="C549" s="27"/>
      <c r="D549" s="27"/>
      <c r="E549" s="25"/>
      <c r="F549" s="26" t="str">
        <f>IF(E549='Tablas AR'!$B$4,1,IF('Análisis de Riesgos'!E549='Tablas AR'!$B$5,2,IF('Análisis de Riesgos'!E549='Tablas AR'!$B$6,3,"")))</f>
        <v/>
      </c>
      <c r="G549" s="25"/>
      <c r="H549" s="26" t="str">
        <f>IF(G549='Tablas AR'!$B$10,1,IF('Análisis de Riesgos'!G549='Tablas AR'!$B$11,2,IF('Análisis de Riesgos'!G549='Tablas AR'!$B$12,3,"")))</f>
        <v/>
      </c>
      <c r="I549" s="26" t="str">
        <f t="shared" si="8"/>
        <v/>
      </c>
    </row>
    <row r="550" spans="2:9" x14ac:dyDescent="0.25">
      <c r="B550" s="27" t="str">
        <f>IFERROR(INDEX(Activos!$B$3:$C$16, MATCH(C550,Activos!$B$3:$B$16),2),"")</f>
        <v/>
      </c>
      <c r="C550" s="27"/>
      <c r="D550" s="27"/>
      <c r="E550" s="25"/>
      <c r="F550" s="26" t="str">
        <f>IF(E550='Tablas AR'!$B$4,1,IF('Análisis de Riesgos'!E550='Tablas AR'!$B$5,2,IF('Análisis de Riesgos'!E550='Tablas AR'!$B$6,3,"")))</f>
        <v/>
      </c>
      <c r="G550" s="25"/>
      <c r="H550" s="26" t="str">
        <f>IF(G550='Tablas AR'!$B$10,1,IF('Análisis de Riesgos'!G550='Tablas AR'!$B$11,2,IF('Análisis de Riesgos'!G550='Tablas AR'!$B$12,3,"")))</f>
        <v/>
      </c>
      <c r="I550" s="26" t="str">
        <f t="shared" si="8"/>
        <v/>
      </c>
    </row>
    <row r="551" spans="2:9" x14ac:dyDescent="0.25">
      <c r="B551" s="27" t="str">
        <f>IFERROR(INDEX(Activos!$B$3:$C$16, MATCH(C551,Activos!$B$3:$B$16),2),"")</f>
        <v/>
      </c>
      <c r="C551" s="27"/>
      <c r="D551" s="27"/>
      <c r="E551" s="25"/>
      <c r="F551" s="26" t="str">
        <f>IF(E551='Tablas AR'!$B$4,1,IF('Análisis de Riesgos'!E551='Tablas AR'!$B$5,2,IF('Análisis de Riesgos'!E551='Tablas AR'!$B$6,3,"")))</f>
        <v/>
      </c>
      <c r="G551" s="25"/>
      <c r="H551" s="26" t="str">
        <f>IF(G551='Tablas AR'!$B$10,1,IF('Análisis de Riesgos'!G551='Tablas AR'!$B$11,2,IF('Análisis de Riesgos'!G551='Tablas AR'!$B$12,3,"")))</f>
        <v/>
      </c>
      <c r="I551" s="26" t="str">
        <f t="shared" si="8"/>
        <v/>
      </c>
    </row>
    <row r="552" spans="2:9" x14ac:dyDescent="0.25">
      <c r="B552" s="27" t="str">
        <f>IFERROR(INDEX(Activos!$B$3:$C$16, MATCH(C552,Activos!$B$3:$B$16),2),"")</f>
        <v/>
      </c>
      <c r="C552" s="27"/>
      <c r="D552" s="27"/>
      <c r="E552" s="25"/>
      <c r="F552" s="26" t="str">
        <f>IF(E552='Tablas AR'!$B$4,1,IF('Análisis de Riesgos'!E552='Tablas AR'!$B$5,2,IF('Análisis de Riesgos'!E552='Tablas AR'!$B$6,3,"")))</f>
        <v/>
      </c>
      <c r="G552" s="25"/>
      <c r="H552" s="26" t="str">
        <f>IF(G552='Tablas AR'!$B$10,1,IF('Análisis de Riesgos'!G552='Tablas AR'!$B$11,2,IF('Análisis de Riesgos'!G552='Tablas AR'!$B$12,3,"")))</f>
        <v/>
      </c>
      <c r="I552" s="26" t="str">
        <f t="shared" si="8"/>
        <v/>
      </c>
    </row>
    <row r="553" spans="2:9" x14ac:dyDescent="0.25">
      <c r="B553" s="27" t="str">
        <f>IFERROR(INDEX(Activos!$B$3:$C$16, MATCH(C553,Activos!$B$3:$B$16),2),"")</f>
        <v/>
      </c>
      <c r="C553" s="27"/>
      <c r="D553" s="27"/>
      <c r="E553" s="25"/>
      <c r="F553" s="26" t="str">
        <f>IF(E553='Tablas AR'!$B$4,1,IF('Análisis de Riesgos'!E553='Tablas AR'!$B$5,2,IF('Análisis de Riesgos'!E553='Tablas AR'!$B$6,3,"")))</f>
        <v/>
      </c>
      <c r="G553" s="25"/>
      <c r="H553" s="26" t="str">
        <f>IF(G553='Tablas AR'!$B$10,1,IF('Análisis de Riesgos'!G553='Tablas AR'!$B$11,2,IF('Análisis de Riesgos'!G553='Tablas AR'!$B$12,3,"")))</f>
        <v/>
      </c>
      <c r="I553" s="26" t="str">
        <f t="shared" si="8"/>
        <v/>
      </c>
    </row>
    <row r="554" spans="2:9" x14ac:dyDescent="0.25">
      <c r="B554" s="27" t="str">
        <f>IFERROR(INDEX(Activos!$B$3:$C$16, MATCH(C554,Activos!$B$3:$B$16),2),"")</f>
        <v/>
      </c>
      <c r="C554" s="27"/>
      <c r="D554" s="27"/>
      <c r="E554" s="25"/>
      <c r="F554" s="26" t="str">
        <f>IF(E554='Tablas AR'!$B$4,1,IF('Análisis de Riesgos'!E554='Tablas AR'!$B$5,2,IF('Análisis de Riesgos'!E554='Tablas AR'!$B$6,3,"")))</f>
        <v/>
      </c>
      <c r="G554" s="25"/>
      <c r="H554" s="26" t="str">
        <f>IF(G554='Tablas AR'!$B$10,1,IF('Análisis de Riesgos'!G554='Tablas AR'!$B$11,2,IF('Análisis de Riesgos'!G554='Tablas AR'!$B$12,3,"")))</f>
        <v/>
      </c>
      <c r="I554" s="26" t="str">
        <f t="shared" si="8"/>
        <v/>
      </c>
    </row>
    <row r="555" spans="2:9" x14ac:dyDescent="0.25">
      <c r="B555" s="27" t="str">
        <f>IFERROR(INDEX(Activos!$B$3:$C$16, MATCH(C555,Activos!$B$3:$B$16),2),"")</f>
        <v/>
      </c>
      <c r="C555" s="27"/>
      <c r="D555" s="27"/>
      <c r="E555" s="25"/>
      <c r="F555" s="26" t="str">
        <f>IF(E555='Tablas AR'!$B$4,1,IF('Análisis de Riesgos'!E555='Tablas AR'!$B$5,2,IF('Análisis de Riesgos'!E555='Tablas AR'!$B$6,3,"")))</f>
        <v/>
      </c>
      <c r="G555" s="25"/>
      <c r="H555" s="26" t="str">
        <f>IF(G555='Tablas AR'!$B$10,1,IF('Análisis de Riesgos'!G555='Tablas AR'!$B$11,2,IF('Análisis de Riesgos'!G555='Tablas AR'!$B$12,3,"")))</f>
        <v/>
      </c>
      <c r="I555" s="26" t="str">
        <f t="shared" si="8"/>
        <v/>
      </c>
    </row>
    <row r="556" spans="2:9" x14ac:dyDescent="0.25">
      <c r="B556" s="27" t="str">
        <f>IFERROR(INDEX(Activos!$B$3:$C$16, MATCH(C556,Activos!$B$3:$B$16),2),"")</f>
        <v/>
      </c>
      <c r="C556" s="27"/>
      <c r="D556" s="27"/>
      <c r="E556" s="25"/>
      <c r="F556" s="26" t="str">
        <f>IF(E556='Tablas AR'!$B$4,1,IF('Análisis de Riesgos'!E556='Tablas AR'!$B$5,2,IF('Análisis de Riesgos'!E556='Tablas AR'!$B$6,3,"")))</f>
        <v/>
      </c>
      <c r="G556" s="25"/>
      <c r="H556" s="26" t="str">
        <f>IF(G556='Tablas AR'!$B$10,1,IF('Análisis de Riesgos'!G556='Tablas AR'!$B$11,2,IF('Análisis de Riesgos'!G556='Tablas AR'!$B$12,3,"")))</f>
        <v/>
      </c>
      <c r="I556" s="26" t="str">
        <f t="shared" si="8"/>
        <v/>
      </c>
    </row>
    <row r="557" spans="2:9" x14ac:dyDescent="0.25">
      <c r="B557" s="27" t="str">
        <f>IFERROR(INDEX(Activos!$B$3:$C$16, MATCH(C557,Activos!$B$3:$B$16),2),"")</f>
        <v/>
      </c>
      <c r="C557" s="27"/>
      <c r="D557" s="27"/>
      <c r="E557" s="25"/>
      <c r="F557" s="26" t="str">
        <f>IF(E557='Tablas AR'!$B$4,1,IF('Análisis de Riesgos'!E557='Tablas AR'!$B$5,2,IF('Análisis de Riesgos'!E557='Tablas AR'!$B$6,3,"")))</f>
        <v/>
      </c>
      <c r="G557" s="25"/>
      <c r="H557" s="26" t="str">
        <f>IF(G557='Tablas AR'!$B$10,1,IF('Análisis de Riesgos'!G557='Tablas AR'!$B$11,2,IF('Análisis de Riesgos'!G557='Tablas AR'!$B$12,3,"")))</f>
        <v/>
      </c>
      <c r="I557" s="26" t="str">
        <f t="shared" si="8"/>
        <v/>
      </c>
    </row>
    <row r="558" spans="2:9" x14ac:dyDescent="0.25">
      <c r="B558" s="27" t="str">
        <f>IFERROR(INDEX(Activos!$B$3:$C$16, MATCH(C558,Activos!$B$3:$B$16),2),"")</f>
        <v/>
      </c>
      <c r="C558" s="27"/>
      <c r="D558" s="27"/>
      <c r="E558" s="25"/>
      <c r="F558" s="26" t="str">
        <f>IF(E558='Tablas AR'!$B$4,1,IF('Análisis de Riesgos'!E558='Tablas AR'!$B$5,2,IF('Análisis de Riesgos'!E558='Tablas AR'!$B$6,3,"")))</f>
        <v/>
      </c>
      <c r="G558" s="25"/>
      <c r="H558" s="26" t="str">
        <f>IF(G558='Tablas AR'!$B$10,1,IF('Análisis de Riesgos'!G558='Tablas AR'!$B$11,2,IF('Análisis de Riesgos'!G558='Tablas AR'!$B$12,3,"")))</f>
        <v/>
      </c>
      <c r="I558" s="26" t="str">
        <f t="shared" si="8"/>
        <v/>
      </c>
    </row>
    <row r="559" spans="2:9" x14ac:dyDescent="0.25">
      <c r="B559" s="27" t="str">
        <f>IFERROR(INDEX(Activos!$B$3:$C$16, MATCH(C559,Activos!$B$3:$B$16),2),"")</f>
        <v/>
      </c>
      <c r="C559" s="27"/>
      <c r="D559" s="27"/>
      <c r="E559" s="25"/>
      <c r="F559" s="26" t="str">
        <f>IF(E559='Tablas AR'!$B$4,1,IF('Análisis de Riesgos'!E559='Tablas AR'!$B$5,2,IF('Análisis de Riesgos'!E559='Tablas AR'!$B$6,3,"")))</f>
        <v/>
      </c>
      <c r="G559" s="25"/>
      <c r="H559" s="26" t="str">
        <f>IF(G559='Tablas AR'!$B$10,1,IF('Análisis de Riesgos'!G559='Tablas AR'!$B$11,2,IF('Análisis de Riesgos'!G559='Tablas AR'!$B$12,3,"")))</f>
        <v/>
      </c>
      <c r="I559" s="26" t="str">
        <f t="shared" si="8"/>
        <v/>
      </c>
    </row>
    <row r="560" spans="2:9" x14ac:dyDescent="0.25">
      <c r="B560" s="27" t="str">
        <f>IFERROR(INDEX(Activos!$B$3:$C$16, MATCH(C560,Activos!$B$3:$B$16),2),"")</f>
        <v/>
      </c>
      <c r="C560" s="27"/>
      <c r="D560" s="27"/>
      <c r="E560" s="25"/>
      <c r="F560" s="26" t="str">
        <f>IF(E560='Tablas AR'!$B$4,1,IF('Análisis de Riesgos'!E560='Tablas AR'!$B$5,2,IF('Análisis de Riesgos'!E560='Tablas AR'!$B$6,3,"")))</f>
        <v/>
      </c>
      <c r="G560" s="25"/>
      <c r="H560" s="26" t="str">
        <f>IF(G560='Tablas AR'!$B$10,1,IF('Análisis de Riesgos'!G560='Tablas AR'!$B$11,2,IF('Análisis de Riesgos'!G560='Tablas AR'!$B$12,3,"")))</f>
        <v/>
      </c>
      <c r="I560" s="26" t="str">
        <f t="shared" si="8"/>
        <v/>
      </c>
    </row>
    <row r="561" spans="2:9" x14ac:dyDescent="0.25">
      <c r="B561" s="27" t="str">
        <f>IFERROR(INDEX(Activos!$B$3:$C$16, MATCH(C561,Activos!$B$3:$B$16),2),"")</f>
        <v/>
      </c>
      <c r="C561" s="27"/>
      <c r="D561" s="27"/>
      <c r="E561" s="25"/>
      <c r="F561" s="26" t="str">
        <f>IF(E561='Tablas AR'!$B$4,1,IF('Análisis de Riesgos'!E561='Tablas AR'!$B$5,2,IF('Análisis de Riesgos'!E561='Tablas AR'!$B$6,3,"")))</f>
        <v/>
      </c>
      <c r="G561" s="25"/>
      <c r="H561" s="26" t="str">
        <f>IF(G561='Tablas AR'!$B$10,1,IF('Análisis de Riesgos'!G561='Tablas AR'!$B$11,2,IF('Análisis de Riesgos'!G561='Tablas AR'!$B$12,3,"")))</f>
        <v/>
      </c>
      <c r="I561" s="26" t="str">
        <f t="shared" si="8"/>
        <v/>
      </c>
    </row>
    <row r="562" spans="2:9" x14ac:dyDescent="0.25">
      <c r="B562" s="27" t="str">
        <f>IFERROR(INDEX(Activos!$B$3:$C$16, MATCH(C562,Activos!$B$3:$B$16),2),"")</f>
        <v/>
      </c>
      <c r="C562" s="27"/>
      <c r="D562" s="27"/>
      <c r="E562" s="25"/>
      <c r="F562" s="26" t="str">
        <f>IF(E562='Tablas AR'!$B$4,1,IF('Análisis de Riesgos'!E562='Tablas AR'!$B$5,2,IF('Análisis de Riesgos'!E562='Tablas AR'!$B$6,3,"")))</f>
        <v/>
      </c>
      <c r="G562" s="25"/>
      <c r="H562" s="26" t="str">
        <f>IF(G562='Tablas AR'!$B$10,1,IF('Análisis de Riesgos'!G562='Tablas AR'!$B$11,2,IF('Análisis de Riesgos'!G562='Tablas AR'!$B$12,3,"")))</f>
        <v/>
      </c>
      <c r="I562" s="26" t="str">
        <f t="shared" si="8"/>
        <v/>
      </c>
    </row>
    <row r="563" spans="2:9" x14ac:dyDescent="0.25">
      <c r="B563" s="27" t="str">
        <f>IFERROR(INDEX(Activos!$B$3:$C$16, MATCH(C563,Activos!$B$3:$B$16),2),"")</f>
        <v/>
      </c>
      <c r="C563" s="27"/>
      <c r="D563" s="27"/>
      <c r="E563" s="25"/>
      <c r="F563" s="26" t="str">
        <f>IF(E563='Tablas AR'!$B$4,1,IF('Análisis de Riesgos'!E563='Tablas AR'!$B$5,2,IF('Análisis de Riesgos'!E563='Tablas AR'!$B$6,3,"")))</f>
        <v/>
      </c>
      <c r="G563" s="25"/>
      <c r="H563" s="26" t="str">
        <f>IF(G563='Tablas AR'!$B$10,1,IF('Análisis de Riesgos'!G563='Tablas AR'!$B$11,2,IF('Análisis de Riesgos'!G563='Tablas AR'!$B$12,3,"")))</f>
        <v/>
      </c>
      <c r="I563" s="26" t="str">
        <f t="shared" si="8"/>
        <v/>
      </c>
    </row>
    <row r="564" spans="2:9" x14ac:dyDescent="0.25">
      <c r="B564" s="27" t="str">
        <f>IFERROR(INDEX(Activos!$B$3:$C$16, MATCH(C564,Activos!$B$3:$B$16),2),"")</f>
        <v/>
      </c>
      <c r="C564" s="27"/>
      <c r="D564" s="27"/>
      <c r="E564" s="25"/>
      <c r="F564" s="26" t="str">
        <f>IF(E564='Tablas AR'!$B$4,1,IF('Análisis de Riesgos'!E564='Tablas AR'!$B$5,2,IF('Análisis de Riesgos'!E564='Tablas AR'!$B$6,3,"")))</f>
        <v/>
      </c>
      <c r="G564" s="25"/>
      <c r="H564" s="26" t="str">
        <f>IF(G564='Tablas AR'!$B$10,1,IF('Análisis de Riesgos'!G564='Tablas AR'!$B$11,2,IF('Análisis de Riesgos'!G564='Tablas AR'!$B$12,3,"")))</f>
        <v/>
      </c>
      <c r="I564" s="26" t="str">
        <f t="shared" si="8"/>
        <v/>
      </c>
    </row>
    <row r="565" spans="2:9" x14ac:dyDescent="0.25">
      <c r="B565" s="27" t="str">
        <f>IFERROR(INDEX(Activos!$B$3:$C$16, MATCH(C565,Activos!$B$3:$B$16),2),"")</f>
        <v/>
      </c>
      <c r="C565" s="27"/>
      <c r="D565" s="27"/>
      <c r="E565" s="25"/>
      <c r="F565" s="26" t="str">
        <f>IF(E565='Tablas AR'!$B$4,1,IF('Análisis de Riesgos'!E565='Tablas AR'!$B$5,2,IF('Análisis de Riesgos'!E565='Tablas AR'!$B$6,3,"")))</f>
        <v/>
      </c>
      <c r="G565" s="25"/>
      <c r="H565" s="26" t="str">
        <f>IF(G565='Tablas AR'!$B$10,1,IF('Análisis de Riesgos'!G565='Tablas AR'!$B$11,2,IF('Análisis de Riesgos'!G565='Tablas AR'!$B$12,3,"")))</f>
        <v/>
      </c>
      <c r="I565" s="26" t="str">
        <f t="shared" si="8"/>
        <v/>
      </c>
    </row>
    <row r="566" spans="2:9" x14ac:dyDescent="0.25">
      <c r="B566" s="27" t="str">
        <f>IFERROR(INDEX(Activos!$B$3:$C$16, MATCH(C566,Activos!$B$3:$B$16),2),"")</f>
        <v/>
      </c>
      <c r="C566" s="27"/>
      <c r="D566" s="27"/>
      <c r="E566" s="25"/>
      <c r="F566" s="26" t="str">
        <f>IF(E566='Tablas AR'!$B$4,1,IF('Análisis de Riesgos'!E566='Tablas AR'!$B$5,2,IF('Análisis de Riesgos'!E566='Tablas AR'!$B$6,3,"")))</f>
        <v/>
      </c>
      <c r="G566" s="25"/>
      <c r="H566" s="26" t="str">
        <f>IF(G566='Tablas AR'!$B$10,1,IF('Análisis de Riesgos'!G566='Tablas AR'!$B$11,2,IF('Análisis de Riesgos'!G566='Tablas AR'!$B$12,3,"")))</f>
        <v/>
      </c>
      <c r="I566" s="26" t="str">
        <f t="shared" si="8"/>
        <v/>
      </c>
    </row>
    <row r="567" spans="2:9" x14ac:dyDescent="0.25">
      <c r="B567" s="27" t="str">
        <f>IFERROR(INDEX(Activos!$B$3:$C$16, MATCH(C567,Activos!$B$3:$B$16),2),"")</f>
        <v/>
      </c>
      <c r="C567" s="27"/>
      <c r="D567" s="27"/>
      <c r="E567" s="25"/>
      <c r="F567" s="26" t="str">
        <f>IF(E567='Tablas AR'!$B$4,1,IF('Análisis de Riesgos'!E567='Tablas AR'!$B$5,2,IF('Análisis de Riesgos'!E567='Tablas AR'!$B$6,3,"")))</f>
        <v/>
      </c>
      <c r="G567" s="25"/>
      <c r="H567" s="26" t="str">
        <f>IF(G567='Tablas AR'!$B$10,1,IF('Análisis de Riesgos'!G567='Tablas AR'!$B$11,2,IF('Análisis de Riesgos'!G567='Tablas AR'!$B$12,3,"")))</f>
        <v/>
      </c>
      <c r="I567" s="26" t="str">
        <f t="shared" si="8"/>
        <v/>
      </c>
    </row>
    <row r="568" spans="2:9" x14ac:dyDescent="0.25">
      <c r="B568" s="27" t="str">
        <f>IFERROR(INDEX(Activos!$B$3:$C$16, MATCH(C568,Activos!$B$3:$B$16),2),"")</f>
        <v/>
      </c>
      <c r="C568" s="27"/>
      <c r="D568" s="27"/>
      <c r="E568" s="25"/>
      <c r="F568" s="26" t="str">
        <f>IF(E568='Tablas AR'!$B$4,1,IF('Análisis de Riesgos'!E568='Tablas AR'!$B$5,2,IF('Análisis de Riesgos'!E568='Tablas AR'!$B$6,3,"")))</f>
        <v/>
      </c>
      <c r="G568" s="25"/>
      <c r="H568" s="26" t="str">
        <f>IF(G568='Tablas AR'!$B$10,1,IF('Análisis de Riesgos'!G568='Tablas AR'!$B$11,2,IF('Análisis de Riesgos'!G568='Tablas AR'!$B$12,3,"")))</f>
        <v/>
      </c>
      <c r="I568" s="26" t="str">
        <f t="shared" si="8"/>
        <v/>
      </c>
    </row>
    <row r="569" spans="2:9" x14ac:dyDescent="0.25">
      <c r="B569" s="27" t="str">
        <f>IFERROR(INDEX(Activos!$B$3:$C$16, MATCH(C569,Activos!$B$3:$B$16),2),"")</f>
        <v/>
      </c>
      <c r="C569" s="27"/>
      <c r="D569" s="27"/>
      <c r="E569" s="25"/>
      <c r="F569" s="26" t="str">
        <f>IF(E569='Tablas AR'!$B$4,1,IF('Análisis de Riesgos'!E569='Tablas AR'!$B$5,2,IF('Análisis de Riesgos'!E569='Tablas AR'!$B$6,3,"")))</f>
        <v/>
      </c>
      <c r="G569" s="25"/>
      <c r="H569" s="26" t="str">
        <f>IF(G569='Tablas AR'!$B$10,1,IF('Análisis de Riesgos'!G569='Tablas AR'!$B$11,2,IF('Análisis de Riesgos'!G569='Tablas AR'!$B$12,3,"")))</f>
        <v/>
      </c>
      <c r="I569" s="26" t="str">
        <f t="shared" si="8"/>
        <v/>
      </c>
    </row>
    <row r="570" spans="2:9" x14ac:dyDescent="0.25">
      <c r="B570" s="27" t="str">
        <f>IFERROR(INDEX(Activos!$B$3:$C$16, MATCH(C570,Activos!$B$3:$B$16),2),"")</f>
        <v/>
      </c>
      <c r="C570" s="27"/>
      <c r="D570" s="27"/>
      <c r="E570" s="25"/>
      <c r="F570" s="26" t="str">
        <f>IF(E570='Tablas AR'!$B$4,1,IF('Análisis de Riesgos'!E570='Tablas AR'!$B$5,2,IF('Análisis de Riesgos'!E570='Tablas AR'!$B$6,3,"")))</f>
        <v/>
      </c>
      <c r="G570" s="25"/>
      <c r="H570" s="26" t="str">
        <f>IF(G570='Tablas AR'!$B$10,1,IF('Análisis de Riesgos'!G570='Tablas AR'!$B$11,2,IF('Análisis de Riesgos'!G570='Tablas AR'!$B$12,3,"")))</f>
        <v/>
      </c>
      <c r="I570" s="26" t="str">
        <f t="shared" si="8"/>
        <v/>
      </c>
    </row>
    <row r="571" spans="2:9" x14ac:dyDescent="0.25">
      <c r="B571" s="27" t="str">
        <f>IFERROR(INDEX(Activos!$B$3:$C$16, MATCH(C571,Activos!$B$3:$B$16),2),"")</f>
        <v/>
      </c>
      <c r="C571" s="27"/>
      <c r="D571" s="27"/>
      <c r="E571" s="25"/>
      <c r="F571" s="26" t="str">
        <f>IF(E571='Tablas AR'!$B$4,1,IF('Análisis de Riesgos'!E571='Tablas AR'!$B$5,2,IF('Análisis de Riesgos'!E571='Tablas AR'!$B$6,3,"")))</f>
        <v/>
      </c>
      <c r="G571" s="25"/>
      <c r="H571" s="26" t="str">
        <f>IF(G571='Tablas AR'!$B$10,1,IF('Análisis de Riesgos'!G571='Tablas AR'!$B$11,2,IF('Análisis de Riesgos'!G571='Tablas AR'!$B$12,3,"")))</f>
        <v/>
      </c>
      <c r="I571" s="26" t="str">
        <f t="shared" si="8"/>
        <v/>
      </c>
    </row>
    <row r="572" spans="2:9" x14ac:dyDescent="0.25">
      <c r="B572" s="27" t="str">
        <f>IFERROR(INDEX(Activos!$B$3:$C$16, MATCH(C572,Activos!$B$3:$B$16),2),"")</f>
        <v/>
      </c>
      <c r="C572" s="27"/>
      <c r="D572" s="27"/>
      <c r="E572" s="25"/>
      <c r="F572" s="26" t="str">
        <f>IF(E572='Tablas AR'!$B$4,1,IF('Análisis de Riesgos'!E572='Tablas AR'!$B$5,2,IF('Análisis de Riesgos'!E572='Tablas AR'!$B$6,3,"")))</f>
        <v/>
      </c>
      <c r="G572" s="25"/>
      <c r="H572" s="26" t="str">
        <f>IF(G572='Tablas AR'!$B$10,1,IF('Análisis de Riesgos'!G572='Tablas AR'!$B$11,2,IF('Análisis de Riesgos'!G572='Tablas AR'!$B$12,3,"")))</f>
        <v/>
      </c>
      <c r="I572" s="26" t="str">
        <f t="shared" si="8"/>
        <v/>
      </c>
    </row>
    <row r="573" spans="2:9" x14ac:dyDescent="0.25">
      <c r="B573" s="27" t="str">
        <f>IFERROR(INDEX(Activos!$B$3:$C$16, MATCH(C573,Activos!$B$3:$B$16),2),"")</f>
        <v/>
      </c>
      <c r="C573" s="27"/>
      <c r="D573" s="27"/>
      <c r="E573" s="25"/>
      <c r="F573" s="26" t="str">
        <f>IF(E573='Tablas AR'!$B$4,1,IF('Análisis de Riesgos'!E573='Tablas AR'!$B$5,2,IF('Análisis de Riesgos'!E573='Tablas AR'!$B$6,3,"")))</f>
        <v/>
      </c>
      <c r="G573" s="25"/>
      <c r="H573" s="26" t="str">
        <f>IF(G573='Tablas AR'!$B$10,1,IF('Análisis de Riesgos'!G573='Tablas AR'!$B$11,2,IF('Análisis de Riesgos'!G573='Tablas AR'!$B$12,3,"")))</f>
        <v/>
      </c>
      <c r="I573" s="26" t="str">
        <f t="shared" si="8"/>
        <v/>
      </c>
    </row>
    <row r="574" spans="2:9" x14ac:dyDescent="0.25">
      <c r="B574" s="27" t="str">
        <f>IFERROR(INDEX(Activos!$B$3:$C$16, MATCH(C574,Activos!$B$3:$B$16),2),"")</f>
        <v/>
      </c>
      <c r="C574" s="27"/>
      <c r="D574" s="27"/>
      <c r="E574" s="25"/>
      <c r="F574" s="26" t="str">
        <f>IF(E574='Tablas AR'!$B$4,1,IF('Análisis de Riesgos'!E574='Tablas AR'!$B$5,2,IF('Análisis de Riesgos'!E574='Tablas AR'!$B$6,3,"")))</f>
        <v/>
      </c>
      <c r="G574" s="25"/>
      <c r="H574" s="26" t="str">
        <f>IF(G574='Tablas AR'!$B$10,1,IF('Análisis de Riesgos'!G574='Tablas AR'!$B$11,2,IF('Análisis de Riesgos'!G574='Tablas AR'!$B$12,3,"")))</f>
        <v/>
      </c>
      <c r="I574" s="26" t="str">
        <f t="shared" si="8"/>
        <v/>
      </c>
    </row>
    <row r="575" spans="2:9" x14ac:dyDescent="0.25">
      <c r="B575" s="27" t="str">
        <f>IFERROR(INDEX(Activos!$B$3:$C$16, MATCH(C575,Activos!$B$3:$B$16),2),"")</f>
        <v/>
      </c>
      <c r="C575" s="27"/>
      <c r="D575" s="27"/>
      <c r="E575" s="25"/>
      <c r="F575" s="26" t="str">
        <f>IF(E575='Tablas AR'!$B$4,1,IF('Análisis de Riesgos'!E575='Tablas AR'!$B$5,2,IF('Análisis de Riesgos'!E575='Tablas AR'!$B$6,3,"")))</f>
        <v/>
      </c>
      <c r="G575" s="25"/>
      <c r="H575" s="26" t="str">
        <f>IF(G575='Tablas AR'!$B$10,1,IF('Análisis de Riesgos'!G575='Tablas AR'!$B$11,2,IF('Análisis de Riesgos'!G575='Tablas AR'!$B$12,3,"")))</f>
        <v/>
      </c>
      <c r="I575" s="26" t="str">
        <f t="shared" si="8"/>
        <v/>
      </c>
    </row>
    <row r="576" spans="2:9" x14ac:dyDescent="0.25">
      <c r="B576" s="27" t="str">
        <f>IFERROR(INDEX(Activos!$B$3:$C$16, MATCH(C576,Activos!$B$3:$B$16),2),"")</f>
        <v/>
      </c>
      <c r="C576" s="27"/>
      <c r="D576" s="27"/>
      <c r="E576" s="25"/>
      <c r="F576" s="26" t="str">
        <f>IF(E576='Tablas AR'!$B$4,1,IF('Análisis de Riesgos'!E576='Tablas AR'!$B$5,2,IF('Análisis de Riesgos'!E576='Tablas AR'!$B$6,3,"")))</f>
        <v/>
      </c>
      <c r="G576" s="25"/>
      <c r="H576" s="26" t="str">
        <f>IF(G576='Tablas AR'!$B$10,1,IF('Análisis de Riesgos'!G576='Tablas AR'!$B$11,2,IF('Análisis de Riesgos'!G576='Tablas AR'!$B$12,3,"")))</f>
        <v/>
      </c>
      <c r="I576" s="26" t="str">
        <f t="shared" si="8"/>
        <v/>
      </c>
    </row>
    <row r="577" spans="2:9" x14ac:dyDescent="0.25">
      <c r="B577" s="27" t="str">
        <f>IFERROR(INDEX(Activos!$B$3:$C$16, MATCH(C577,Activos!$B$3:$B$16),2),"")</f>
        <v/>
      </c>
      <c r="C577" s="27"/>
      <c r="D577" s="27"/>
      <c r="E577" s="25"/>
      <c r="F577" s="26" t="str">
        <f>IF(E577='Tablas AR'!$B$4,1,IF('Análisis de Riesgos'!E577='Tablas AR'!$B$5,2,IF('Análisis de Riesgos'!E577='Tablas AR'!$B$6,3,"")))</f>
        <v/>
      </c>
      <c r="G577" s="25"/>
      <c r="H577" s="26" t="str">
        <f>IF(G577='Tablas AR'!$B$10,1,IF('Análisis de Riesgos'!G577='Tablas AR'!$B$11,2,IF('Análisis de Riesgos'!G577='Tablas AR'!$B$12,3,"")))</f>
        <v/>
      </c>
      <c r="I577" s="26" t="str">
        <f t="shared" si="8"/>
        <v/>
      </c>
    </row>
    <row r="578" spans="2:9" x14ac:dyDescent="0.25">
      <c r="B578" s="27" t="str">
        <f>IFERROR(INDEX(Activos!$B$3:$C$16, MATCH(C578,Activos!$B$3:$B$16),2),"")</f>
        <v/>
      </c>
      <c r="C578" s="27"/>
      <c r="D578" s="27"/>
      <c r="E578" s="25"/>
      <c r="F578" s="26" t="str">
        <f>IF(E578='Tablas AR'!$B$4,1,IF('Análisis de Riesgos'!E578='Tablas AR'!$B$5,2,IF('Análisis de Riesgos'!E578='Tablas AR'!$B$6,3,"")))</f>
        <v/>
      </c>
      <c r="G578" s="25"/>
      <c r="H578" s="26" t="str">
        <f>IF(G578='Tablas AR'!$B$10,1,IF('Análisis de Riesgos'!G578='Tablas AR'!$B$11,2,IF('Análisis de Riesgos'!G578='Tablas AR'!$B$12,3,"")))</f>
        <v/>
      </c>
      <c r="I578" s="26" t="str">
        <f t="shared" si="8"/>
        <v/>
      </c>
    </row>
    <row r="579" spans="2:9" x14ac:dyDescent="0.25">
      <c r="B579" s="27" t="str">
        <f>IFERROR(INDEX(Activos!$B$3:$C$16, MATCH(C579,Activos!$B$3:$B$16),2),"")</f>
        <v/>
      </c>
      <c r="C579" s="27"/>
      <c r="D579" s="27"/>
      <c r="E579" s="25"/>
      <c r="F579" s="26" t="str">
        <f>IF(E579='Tablas AR'!$B$4,1,IF('Análisis de Riesgos'!E579='Tablas AR'!$B$5,2,IF('Análisis de Riesgos'!E579='Tablas AR'!$B$6,3,"")))</f>
        <v/>
      </c>
      <c r="G579" s="25"/>
      <c r="H579" s="26" t="str">
        <f>IF(G579='Tablas AR'!$B$10,1,IF('Análisis de Riesgos'!G579='Tablas AR'!$B$11,2,IF('Análisis de Riesgos'!G579='Tablas AR'!$B$12,3,"")))</f>
        <v/>
      </c>
      <c r="I579" s="26" t="str">
        <f t="shared" si="8"/>
        <v/>
      </c>
    </row>
    <row r="580" spans="2:9" x14ac:dyDescent="0.25">
      <c r="B580" s="27" t="str">
        <f>IFERROR(INDEX(Activos!$B$3:$C$16, MATCH(C580,Activos!$B$3:$B$16),2),"")</f>
        <v/>
      </c>
      <c r="C580" s="27"/>
      <c r="D580" s="27"/>
      <c r="E580" s="25"/>
      <c r="F580" s="26" t="str">
        <f>IF(E580='Tablas AR'!$B$4,1,IF('Análisis de Riesgos'!E580='Tablas AR'!$B$5,2,IF('Análisis de Riesgos'!E580='Tablas AR'!$B$6,3,"")))</f>
        <v/>
      </c>
      <c r="G580" s="25"/>
      <c r="H580" s="26" t="str">
        <f>IF(G580='Tablas AR'!$B$10,1,IF('Análisis de Riesgos'!G580='Tablas AR'!$B$11,2,IF('Análisis de Riesgos'!G580='Tablas AR'!$B$12,3,"")))</f>
        <v/>
      </c>
      <c r="I580" s="26" t="str">
        <f t="shared" ref="I580:I643" si="9" xml:space="preserve"> IFERROR(F580*H580,"")</f>
        <v/>
      </c>
    </row>
    <row r="581" spans="2:9" x14ac:dyDescent="0.25">
      <c r="B581" s="27" t="str">
        <f>IFERROR(INDEX(Activos!$B$3:$C$16, MATCH(C581,Activos!$B$3:$B$16),2),"")</f>
        <v/>
      </c>
      <c r="C581" s="27"/>
      <c r="D581" s="27"/>
      <c r="E581" s="25"/>
      <c r="F581" s="26" t="str">
        <f>IF(E581='Tablas AR'!$B$4,1,IF('Análisis de Riesgos'!E581='Tablas AR'!$B$5,2,IF('Análisis de Riesgos'!E581='Tablas AR'!$B$6,3,"")))</f>
        <v/>
      </c>
      <c r="G581" s="25"/>
      <c r="H581" s="26" t="str">
        <f>IF(G581='Tablas AR'!$B$10,1,IF('Análisis de Riesgos'!G581='Tablas AR'!$B$11,2,IF('Análisis de Riesgos'!G581='Tablas AR'!$B$12,3,"")))</f>
        <v/>
      </c>
      <c r="I581" s="26" t="str">
        <f t="shared" si="9"/>
        <v/>
      </c>
    </row>
    <row r="582" spans="2:9" x14ac:dyDescent="0.25">
      <c r="B582" s="27" t="str">
        <f>IFERROR(INDEX(Activos!$B$3:$C$16, MATCH(C582,Activos!$B$3:$B$16),2),"")</f>
        <v/>
      </c>
      <c r="C582" s="27"/>
      <c r="D582" s="27"/>
      <c r="E582" s="25"/>
      <c r="F582" s="26" t="str">
        <f>IF(E582='Tablas AR'!$B$4,1,IF('Análisis de Riesgos'!E582='Tablas AR'!$B$5,2,IF('Análisis de Riesgos'!E582='Tablas AR'!$B$6,3,"")))</f>
        <v/>
      </c>
      <c r="G582" s="25"/>
      <c r="H582" s="26" t="str">
        <f>IF(G582='Tablas AR'!$B$10,1,IF('Análisis de Riesgos'!G582='Tablas AR'!$B$11,2,IF('Análisis de Riesgos'!G582='Tablas AR'!$B$12,3,"")))</f>
        <v/>
      </c>
      <c r="I582" s="26" t="str">
        <f t="shared" si="9"/>
        <v/>
      </c>
    </row>
    <row r="583" spans="2:9" x14ac:dyDescent="0.25">
      <c r="B583" s="27" t="str">
        <f>IFERROR(INDEX(Activos!$B$3:$C$16, MATCH(C583,Activos!$B$3:$B$16),2),"")</f>
        <v/>
      </c>
      <c r="C583" s="27"/>
      <c r="D583" s="27"/>
      <c r="E583" s="25"/>
      <c r="F583" s="26" t="str">
        <f>IF(E583='Tablas AR'!$B$4,1,IF('Análisis de Riesgos'!E583='Tablas AR'!$B$5,2,IF('Análisis de Riesgos'!E583='Tablas AR'!$B$6,3,"")))</f>
        <v/>
      </c>
      <c r="G583" s="25"/>
      <c r="H583" s="26" t="str">
        <f>IF(G583='Tablas AR'!$B$10,1,IF('Análisis de Riesgos'!G583='Tablas AR'!$B$11,2,IF('Análisis de Riesgos'!G583='Tablas AR'!$B$12,3,"")))</f>
        <v/>
      </c>
      <c r="I583" s="26" t="str">
        <f t="shared" si="9"/>
        <v/>
      </c>
    </row>
    <row r="584" spans="2:9" x14ac:dyDescent="0.25">
      <c r="B584" s="27" t="str">
        <f>IFERROR(INDEX(Activos!$B$3:$C$16, MATCH(C584,Activos!$B$3:$B$16),2),"")</f>
        <v/>
      </c>
      <c r="C584" s="27"/>
      <c r="D584" s="27"/>
      <c r="E584" s="25"/>
      <c r="F584" s="26" t="str">
        <f>IF(E584='Tablas AR'!$B$4,1,IF('Análisis de Riesgos'!E584='Tablas AR'!$B$5,2,IF('Análisis de Riesgos'!E584='Tablas AR'!$B$6,3,"")))</f>
        <v/>
      </c>
      <c r="G584" s="25"/>
      <c r="H584" s="26" t="str">
        <f>IF(G584='Tablas AR'!$B$10,1,IF('Análisis de Riesgos'!G584='Tablas AR'!$B$11,2,IF('Análisis de Riesgos'!G584='Tablas AR'!$B$12,3,"")))</f>
        <v/>
      </c>
      <c r="I584" s="26" t="str">
        <f t="shared" si="9"/>
        <v/>
      </c>
    </row>
    <row r="585" spans="2:9" x14ac:dyDescent="0.25">
      <c r="B585" s="27" t="str">
        <f>IFERROR(INDEX(Activos!$B$3:$C$16, MATCH(C585,Activos!$B$3:$B$16),2),"")</f>
        <v/>
      </c>
      <c r="C585" s="27"/>
      <c r="D585" s="27"/>
      <c r="E585" s="25"/>
      <c r="F585" s="26" t="str">
        <f>IF(E585='Tablas AR'!$B$4,1,IF('Análisis de Riesgos'!E585='Tablas AR'!$B$5,2,IF('Análisis de Riesgos'!E585='Tablas AR'!$B$6,3,"")))</f>
        <v/>
      </c>
      <c r="G585" s="25"/>
      <c r="H585" s="26" t="str">
        <f>IF(G585='Tablas AR'!$B$10,1,IF('Análisis de Riesgos'!G585='Tablas AR'!$B$11,2,IF('Análisis de Riesgos'!G585='Tablas AR'!$B$12,3,"")))</f>
        <v/>
      </c>
      <c r="I585" s="26" t="str">
        <f t="shared" si="9"/>
        <v/>
      </c>
    </row>
    <row r="586" spans="2:9" x14ac:dyDescent="0.25">
      <c r="B586" s="27" t="str">
        <f>IFERROR(INDEX(Activos!$B$3:$C$16, MATCH(C586,Activos!$B$3:$B$16),2),"")</f>
        <v/>
      </c>
      <c r="C586" s="27"/>
      <c r="D586" s="27"/>
      <c r="E586" s="25"/>
      <c r="F586" s="26" t="str">
        <f>IF(E586='Tablas AR'!$B$4,1,IF('Análisis de Riesgos'!E586='Tablas AR'!$B$5,2,IF('Análisis de Riesgos'!E586='Tablas AR'!$B$6,3,"")))</f>
        <v/>
      </c>
      <c r="G586" s="25"/>
      <c r="H586" s="26" t="str">
        <f>IF(G586='Tablas AR'!$B$10,1,IF('Análisis de Riesgos'!G586='Tablas AR'!$B$11,2,IF('Análisis de Riesgos'!G586='Tablas AR'!$B$12,3,"")))</f>
        <v/>
      </c>
      <c r="I586" s="26" t="str">
        <f t="shared" si="9"/>
        <v/>
      </c>
    </row>
    <row r="587" spans="2:9" x14ac:dyDescent="0.25">
      <c r="B587" s="27" t="str">
        <f>IFERROR(INDEX(Activos!$B$3:$C$16, MATCH(C587,Activos!$B$3:$B$16),2),"")</f>
        <v/>
      </c>
      <c r="C587" s="27"/>
      <c r="D587" s="27"/>
      <c r="E587" s="25"/>
      <c r="F587" s="26" t="str">
        <f>IF(E587='Tablas AR'!$B$4,1,IF('Análisis de Riesgos'!E587='Tablas AR'!$B$5,2,IF('Análisis de Riesgos'!E587='Tablas AR'!$B$6,3,"")))</f>
        <v/>
      </c>
      <c r="G587" s="25"/>
      <c r="H587" s="26" t="str">
        <f>IF(G587='Tablas AR'!$B$10,1,IF('Análisis de Riesgos'!G587='Tablas AR'!$B$11,2,IF('Análisis de Riesgos'!G587='Tablas AR'!$B$12,3,"")))</f>
        <v/>
      </c>
      <c r="I587" s="26" t="str">
        <f t="shared" si="9"/>
        <v/>
      </c>
    </row>
    <row r="588" spans="2:9" x14ac:dyDescent="0.25">
      <c r="B588" s="27" t="str">
        <f>IFERROR(INDEX(Activos!$B$3:$C$16, MATCH(C588,Activos!$B$3:$B$16),2),"")</f>
        <v/>
      </c>
      <c r="C588" s="27"/>
      <c r="D588" s="27"/>
      <c r="E588" s="25"/>
      <c r="F588" s="26" t="str">
        <f>IF(E588='Tablas AR'!$B$4,1,IF('Análisis de Riesgos'!E588='Tablas AR'!$B$5,2,IF('Análisis de Riesgos'!E588='Tablas AR'!$B$6,3,"")))</f>
        <v/>
      </c>
      <c r="G588" s="25"/>
      <c r="H588" s="26" t="str">
        <f>IF(G588='Tablas AR'!$B$10,1,IF('Análisis de Riesgos'!G588='Tablas AR'!$B$11,2,IF('Análisis de Riesgos'!G588='Tablas AR'!$B$12,3,"")))</f>
        <v/>
      </c>
      <c r="I588" s="26" t="str">
        <f t="shared" si="9"/>
        <v/>
      </c>
    </row>
    <row r="589" spans="2:9" x14ac:dyDescent="0.25">
      <c r="B589" s="27" t="str">
        <f>IFERROR(INDEX(Activos!$B$3:$C$16, MATCH(C589,Activos!$B$3:$B$16),2),"")</f>
        <v/>
      </c>
      <c r="C589" s="27"/>
      <c r="D589" s="27"/>
      <c r="E589" s="25"/>
      <c r="F589" s="26" t="str">
        <f>IF(E589='Tablas AR'!$B$4,1,IF('Análisis de Riesgos'!E589='Tablas AR'!$B$5,2,IF('Análisis de Riesgos'!E589='Tablas AR'!$B$6,3,"")))</f>
        <v/>
      </c>
      <c r="G589" s="25"/>
      <c r="H589" s="26" t="str">
        <f>IF(G589='Tablas AR'!$B$10,1,IF('Análisis de Riesgos'!G589='Tablas AR'!$B$11,2,IF('Análisis de Riesgos'!G589='Tablas AR'!$B$12,3,"")))</f>
        <v/>
      </c>
      <c r="I589" s="26" t="str">
        <f t="shared" si="9"/>
        <v/>
      </c>
    </row>
    <row r="590" spans="2:9" x14ac:dyDescent="0.25">
      <c r="B590" s="27" t="str">
        <f>IFERROR(INDEX(Activos!$B$3:$C$16, MATCH(C590,Activos!$B$3:$B$16),2),"")</f>
        <v/>
      </c>
      <c r="C590" s="27"/>
      <c r="D590" s="27"/>
      <c r="E590" s="25"/>
      <c r="F590" s="26" t="str">
        <f>IF(E590='Tablas AR'!$B$4,1,IF('Análisis de Riesgos'!E590='Tablas AR'!$B$5,2,IF('Análisis de Riesgos'!E590='Tablas AR'!$B$6,3,"")))</f>
        <v/>
      </c>
      <c r="G590" s="25"/>
      <c r="H590" s="26" t="str">
        <f>IF(G590='Tablas AR'!$B$10,1,IF('Análisis de Riesgos'!G590='Tablas AR'!$B$11,2,IF('Análisis de Riesgos'!G590='Tablas AR'!$B$12,3,"")))</f>
        <v/>
      </c>
      <c r="I590" s="26" t="str">
        <f t="shared" si="9"/>
        <v/>
      </c>
    </row>
    <row r="591" spans="2:9" x14ac:dyDescent="0.25">
      <c r="B591" s="27" t="str">
        <f>IFERROR(INDEX(Activos!$B$3:$C$16, MATCH(C591,Activos!$B$3:$B$16),2),"")</f>
        <v/>
      </c>
      <c r="C591" s="27"/>
      <c r="D591" s="27"/>
      <c r="E591" s="25"/>
      <c r="F591" s="26" t="str">
        <f>IF(E591='Tablas AR'!$B$4,1,IF('Análisis de Riesgos'!E591='Tablas AR'!$B$5,2,IF('Análisis de Riesgos'!E591='Tablas AR'!$B$6,3,"")))</f>
        <v/>
      </c>
      <c r="G591" s="25"/>
      <c r="H591" s="26" t="str">
        <f>IF(G591='Tablas AR'!$B$10,1,IF('Análisis de Riesgos'!G591='Tablas AR'!$B$11,2,IF('Análisis de Riesgos'!G591='Tablas AR'!$B$12,3,"")))</f>
        <v/>
      </c>
      <c r="I591" s="26" t="str">
        <f t="shared" si="9"/>
        <v/>
      </c>
    </row>
    <row r="592" spans="2:9" x14ac:dyDescent="0.25">
      <c r="B592" s="27" t="str">
        <f>IFERROR(INDEX(Activos!$B$3:$C$16, MATCH(C592,Activos!$B$3:$B$16),2),"")</f>
        <v/>
      </c>
      <c r="C592" s="27"/>
      <c r="D592" s="27"/>
      <c r="E592" s="25"/>
      <c r="F592" s="26" t="str">
        <f>IF(E592='Tablas AR'!$B$4,1,IF('Análisis de Riesgos'!E592='Tablas AR'!$B$5,2,IF('Análisis de Riesgos'!E592='Tablas AR'!$B$6,3,"")))</f>
        <v/>
      </c>
      <c r="G592" s="25"/>
      <c r="H592" s="26" t="str">
        <f>IF(G592='Tablas AR'!$B$10,1,IF('Análisis de Riesgos'!G592='Tablas AR'!$B$11,2,IF('Análisis de Riesgos'!G592='Tablas AR'!$B$12,3,"")))</f>
        <v/>
      </c>
      <c r="I592" s="26" t="str">
        <f t="shared" si="9"/>
        <v/>
      </c>
    </row>
    <row r="593" spans="2:9" x14ac:dyDescent="0.25">
      <c r="B593" s="27" t="str">
        <f>IFERROR(INDEX(Activos!$B$3:$C$16, MATCH(C593,Activos!$B$3:$B$16),2),"")</f>
        <v/>
      </c>
      <c r="C593" s="27"/>
      <c r="D593" s="27"/>
      <c r="E593" s="25"/>
      <c r="F593" s="26" t="str">
        <f>IF(E593='Tablas AR'!$B$4,1,IF('Análisis de Riesgos'!E593='Tablas AR'!$B$5,2,IF('Análisis de Riesgos'!E593='Tablas AR'!$B$6,3,"")))</f>
        <v/>
      </c>
      <c r="G593" s="25"/>
      <c r="H593" s="26" t="str">
        <f>IF(G593='Tablas AR'!$B$10,1,IF('Análisis de Riesgos'!G593='Tablas AR'!$B$11,2,IF('Análisis de Riesgos'!G593='Tablas AR'!$B$12,3,"")))</f>
        <v/>
      </c>
      <c r="I593" s="26" t="str">
        <f t="shared" si="9"/>
        <v/>
      </c>
    </row>
    <row r="594" spans="2:9" x14ac:dyDescent="0.25">
      <c r="B594" s="27" t="str">
        <f>IFERROR(INDEX(Activos!$B$3:$C$16, MATCH(C594,Activos!$B$3:$B$16),2),"")</f>
        <v/>
      </c>
      <c r="C594" s="27"/>
      <c r="D594" s="27"/>
      <c r="E594" s="25"/>
      <c r="F594" s="26" t="str">
        <f>IF(E594='Tablas AR'!$B$4,1,IF('Análisis de Riesgos'!E594='Tablas AR'!$B$5,2,IF('Análisis de Riesgos'!E594='Tablas AR'!$B$6,3,"")))</f>
        <v/>
      </c>
      <c r="G594" s="25"/>
      <c r="H594" s="26" t="str">
        <f>IF(G594='Tablas AR'!$B$10,1,IF('Análisis de Riesgos'!G594='Tablas AR'!$B$11,2,IF('Análisis de Riesgos'!G594='Tablas AR'!$B$12,3,"")))</f>
        <v/>
      </c>
      <c r="I594" s="26" t="str">
        <f t="shared" si="9"/>
        <v/>
      </c>
    </row>
    <row r="595" spans="2:9" x14ac:dyDescent="0.25">
      <c r="B595" s="27" t="str">
        <f>IFERROR(INDEX(Activos!$B$3:$C$16, MATCH(C595,Activos!$B$3:$B$16),2),"")</f>
        <v/>
      </c>
      <c r="C595" s="27"/>
      <c r="D595" s="27"/>
      <c r="E595" s="25"/>
      <c r="F595" s="26" t="str">
        <f>IF(E595='Tablas AR'!$B$4,1,IF('Análisis de Riesgos'!E595='Tablas AR'!$B$5,2,IF('Análisis de Riesgos'!E595='Tablas AR'!$B$6,3,"")))</f>
        <v/>
      </c>
      <c r="G595" s="25"/>
      <c r="H595" s="26" t="str">
        <f>IF(G595='Tablas AR'!$B$10,1,IF('Análisis de Riesgos'!G595='Tablas AR'!$B$11,2,IF('Análisis de Riesgos'!G595='Tablas AR'!$B$12,3,"")))</f>
        <v/>
      </c>
      <c r="I595" s="26" t="str">
        <f t="shared" si="9"/>
        <v/>
      </c>
    </row>
    <row r="596" spans="2:9" x14ac:dyDescent="0.25">
      <c r="B596" s="27" t="str">
        <f>IFERROR(INDEX(Activos!$B$3:$C$16, MATCH(C596,Activos!$B$3:$B$16),2),"")</f>
        <v/>
      </c>
      <c r="C596" s="27"/>
      <c r="D596" s="27"/>
      <c r="E596" s="25"/>
      <c r="F596" s="26" t="str">
        <f>IF(E596='Tablas AR'!$B$4,1,IF('Análisis de Riesgos'!E596='Tablas AR'!$B$5,2,IF('Análisis de Riesgos'!E596='Tablas AR'!$B$6,3,"")))</f>
        <v/>
      </c>
      <c r="G596" s="25"/>
      <c r="H596" s="26" t="str">
        <f>IF(G596='Tablas AR'!$B$10,1,IF('Análisis de Riesgos'!G596='Tablas AR'!$B$11,2,IF('Análisis de Riesgos'!G596='Tablas AR'!$B$12,3,"")))</f>
        <v/>
      </c>
      <c r="I596" s="26" t="str">
        <f t="shared" si="9"/>
        <v/>
      </c>
    </row>
    <row r="597" spans="2:9" x14ac:dyDescent="0.25">
      <c r="B597" s="27" t="str">
        <f>IFERROR(INDEX(Activos!$B$3:$C$16, MATCH(C597,Activos!$B$3:$B$16),2),"")</f>
        <v/>
      </c>
      <c r="C597" s="27"/>
      <c r="D597" s="27"/>
      <c r="E597" s="25"/>
      <c r="F597" s="26" t="str">
        <f>IF(E597='Tablas AR'!$B$4,1,IF('Análisis de Riesgos'!E597='Tablas AR'!$B$5,2,IF('Análisis de Riesgos'!E597='Tablas AR'!$B$6,3,"")))</f>
        <v/>
      </c>
      <c r="G597" s="25"/>
      <c r="H597" s="26" t="str">
        <f>IF(G597='Tablas AR'!$B$10,1,IF('Análisis de Riesgos'!G597='Tablas AR'!$B$11,2,IF('Análisis de Riesgos'!G597='Tablas AR'!$B$12,3,"")))</f>
        <v/>
      </c>
      <c r="I597" s="26" t="str">
        <f t="shared" si="9"/>
        <v/>
      </c>
    </row>
    <row r="598" spans="2:9" x14ac:dyDescent="0.25">
      <c r="B598" s="27" t="str">
        <f>IFERROR(INDEX(Activos!$B$3:$C$16, MATCH(C598,Activos!$B$3:$B$16),2),"")</f>
        <v/>
      </c>
      <c r="C598" s="27"/>
      <c r="D598" s="27"/>
      <c r="E598" s="25"/>
      <c r="F598" s="26" t="str">
        <f>IF(E598='Tablas AR'!$B$4,1,IF('Análisis de Riesgos'!E598='Tablas AR'!$B$5,2,IF('Análisis de Riesgos'!E598='Tablas AR'!$B$6,3,"")))</f>
        <v/>
      </c>
      <c r="G598" s="25"/>
      <c r="H598" s="26" t="str">
        <f>IF(G598='Tablas AR'!$B$10,1,IF('Análisis de Riesgos'!G598='Tablas AR'!$B$11,2,IF('Análisis de Riesgos'!G598='Tablas AR'!$B$12,3,"")))</f>
        <v/>
      </c>
      <c r="I598" s="26" t="str">
        <f t="shared" si="9"/>
        <v/>
      </c>
    </row>
    <row r="599" spans="2:9" x14ac:dyDescent="0.25">
      <c r="B599" s="27" t="str">
        <f>IFERROR(INDEX(Activos!$B$3:$C$16, MATCH(C599,Activos!$B$3:$B$16),2),"")</f>
        <v/>
      </c>
      <c r="C599" s="27"/>
      <c r="D599" s="27"/>
      <c r="E599" s="25"/>
      <c r="F599" s="26" t="str">
        <f>IF(E599='Tablas AR'!$B$4,1,IF('Análisis de Riesgos'!E599='Tablas AR'!$B$5,2,IF('Análisis de Riesgos'!E599='Tablas AR'!$B$6,3,"")))</f>
        <v/>
      </c>
      <c r="G599" s="25"/>
      <c r="H599" s="26" t="str">
        <f>IF(G599='Tablas AR'!$B$10,1,IF('Análisis de Riesgos'!G599='Tablas AR'!$B$11,2,IF('Análisis de Riesgos'!G599='Tablas AR'!$B$12,3,"")))</f>
        <v/>
      </c>
      <c r="I599" s="26" t="str">
        <f t="shared" si="9"/>
        <v/>
      </c>
    </row>
    <row r="600" spans="2:9" x14ac:dyDescent="0.25">
      <c r="B600" s="27" t="str">
        <f>IFERROR(INDEX(Activos!$B$3:$C$16, MATCH(C600,Activos!$B$3:$B$16),2),"")</f>
        <v/>
      </c>
      <c r="C600" s="27"/>
      <c r="D600" s="27"/>
      <c r="E600" s="25"/>
      <c r="F600" s="26" t="str">
        <f>IF(E600='Tablas AR'!$B$4,1,IF('Análisis de Riesgos'!E600='Tablas AR'!$B$5,2,IF('Análisis de Riesgos'!E600='Tablas AR'!$B$6,3,"")))</f>
        <v/>
      </c>
      <c r="G600" s="25"/>
      <c r="H600" s="26" t="str">
        <f>IF(G600='Tablas AR'!$B$10,1,IF('Análisis de Riesgos'!G600='Tablas AR'!$B$11,2,IF('Análisis de Riesgos'!G600='Tablas AR'!$B$12,3,"")))</f>
        <v/>
      </c>
      <c r="I600" s="26" t="str">
        <f t="shared" si="9"/>
        <v/>
      </c>
    </row>
    <row r="601" spans="2:9" x14ac:dyDescent="0.25">
      <c r="B601" s="27" t="str">
        <f>IFERROR(INDEX(Activos!$B$3:$C$16, MATCH(C601,Activos!$B$3:$B$16),2),"")</f>
        <v/>
      </c>
      <c r="C601" s="27"/>
      <c r="D601" s="27"/>
      <c r="E601" s="25"/>
      <c r="F601" s="26" t="str">
        <f>IF(E601='Tablas AR'!$B$4,1,IF('Análisis de Riesgos'!E601='Tablas AR'!$B$5,2,IF('Análisis de Riesgos'!E601='Tablas AR'!$B$6,3,"")))</f>
        <v/>
      </c>
      <c r="G601" s="25"/>
      <c r="H601" s="26" t="str">
        <f>IF(G601='Tablas AR'!$B$10,1,IF('Análisis de Riesgos'!G601='Tablas AR'!$B$11,2,IF('Análisis de Riesgos'!G601='Tablas AR'!$B$12,3,"")))</f>
        <v/>
      </c>
      <c r="I601" s="26" t="str">
        <f t="shared" si="9"/>
        <v/>
      </c>
    </row>
    <row r="602" spans="2:9" x14ac:dyDescent="0.25">
      <c r="B602" s="27" t="str">
        <f>IFERROR(INDEX(Activos!$B$3:$C$16, MATCH(C602,Activos!$B$3:$B$16),2),"")</f>
        <v/>
      </c>
      <c r="C602" s="27"/>
      <c r="D602" s="27"/>
      <c r="E602" s="25"/>
      <c r="F602" s="26" t="str">
        <f>IF(E602='Tablas AR'!$B$4,1,IF('Análisis de Riesgos'!E602='Tablas AR'!$B$5,2,IF('Análisis de Riesgos'!E602='Tablas AR'!$B$6,3,"")))</f>
        <v/>
      </c>
      <c r="G602" s="25"/>
      <c r="H602" s="26" t="str">
        <f>IF(G602='Tablas AR'!$B$10,1,IF('Análisis de Riesgos'!G602='Tablas AR'!$B$11,2,IF('Análisis de Riesgos'!G602='Tablas AR'!$B$12,3,"")))</f>
        <v/>
      </c>
      <c r="I602" s="26" t="str">
        <f t="shared" si="9"/>
        <v/>
      </c>
    </row>
    <row r="603" spans="2:9" x14ac:dyDescent="0.25">
      <c r="B603" s="27" t="str">
        <f>IFERROR(INDEX(Activos!$B$3:$C$16, MATCH(C603,Activos!$B$3:$B$16),2),"")</f>
        <v/>
      </c>
      <c r="C603" s="27"/>
      <c r="D603" s="27"/>
      <c r="E603" s="25"/>
      <c r="F603" s="26" t="str">
        <f>IF(E603='Tablas AR'!$B$4,1,IF('Análisis de Riesgos'!E603='Tablas AR'!$B$5,2,IF('Análisis de Riesgos'!E603='Tablas AR'!$B$6,3,"")))</f>
        <v/>
      </c>
      <c r="G603" s="25"/>
      <c r="H603" s="26" t="str">
        <f>IF(G603='Tablas AR'!$B$10,1,IF('Análisis de Riesgos'!G603='Tablas AR'!$B$11,2,IF('Análisis de Riesgos'!G603='Tablas AR'!$B$12,3,"")))</f>
        <v/>
      </c>
      <c r="I603" s="26" t="str">
        <f t="shared" si="9"/>
        <v/>
      </c>
    </row>
    <row r="604" spans="2:9" x14ac:dyDescent="0.25">
      <c r="B604" s="27" t="str">
        <f>IFERROR(INDEX(Activos!$B$3:$C$16, MATCH(C604,Activos!$B$3:$B$16),2),"")</f>
        <v/>
      </c>
      <c r="C604" s="27"/>
      <c r="D604" s="27"/>
      <c r="E604" s="25"/>
      <c r="F604" s="26" t="str">
        <f>IF(E604='Tablas AR'!$B$4,1,IF('Análisis de Riesgos'!E604='Tablas AR'!$B$5,2,IF('Análisis de Riesgos'!E604='Tablas AR'!$B$6,3,"")))</f>
        <v/>
      </c>
      <c r="G604" s="25"/>
      <c r="H604" s="26" t="str">
        <f>IF(G604='Tablas AR'!$B$10,1,IF('Análisis de Riesgos'!G604='Tablas AR'!$B$11,2,IF('Análisis de Riesgos'!G604='Tablas AR'!$B$12,3,"")))</f>
        <v/>
      </c>
      <c r="I604" s="26" t="str">
        <f t="shared" si="9"/>
        <v/>
      </c>
    </row>
    <row r="605" spans="2:9" x14ac:dyDescent="0.25">
      <c r="B605" s="27" t="str">
        <f>IFERROR(INDEX(Activos!$B$3:$C$16, MATCH(C605,Activos!$B$3:$B$16),2),"")</f>
        <v/>
      </c>
      <c r="C605" s="27"/>
      <c r="D605" s="27"/>
      <c r="E605" s="25"/>
      <c r="F605" s="26" t="str">
        <f>IF(E605='Tablas AR'!$B$4,1,IF('Análisis de Riesgos'!E605='Tablas AR'!$B$5,2,IF('Análisis de Riesgos'!E605='Tablas AR'!$B$6,3,"")))</f>
        <v/>
      </c>
      <c r="G605" s="25"/>
      <c r="H605" s="26" t="str">
        <f>IF(G605='Tablas AR'!$B$10,1,IF('Análisis de Riesgos'!G605='Tablas AR'!$B$11,2,IF('Análisis de Riesgos'!G605='Tablas AR'!$B$12,3,"")))</f>
        <v/>
      </c>
      <c r="I605" s="26" t="str">
        <f t="shared" si="9"/>
        <v/>
      </c>
    </row>
    <row r="606" spans="2:9" x14ac:dyDescent="0.25">
      <c r="B606" s="27" t="str">
        <f>IFERROR(INDEX(Activos!$B$3:$C$16, MATCH(C606,Activos!$B$3:$B$16),2),"")</f>
        <v/>
      </c>
      <c r="C606" s="27"/>
      <c r="D606" s="27"/>
      <c r="E606" s="25"/>
      <c r="F606" s="26" t="str">
        <f>IF(E606='Tablas AR'!$B$4,1,IF('Análisis de Riesgos'!E606='Tablas AR'!$B$5,2,IF('Análisis de Riesgos'!E606='Tablas AR'!$B$6,3,"")))</f>
        <v/>
      </c>
      <c r="G606" s="25"/>
      <c r="H606" s="26" t="str">
        <f>IF(G606='Tablas AR'!$B$10,1,IF('Análisis de Riesgos'!G606='Tablas AR'!$B$11,2,IF('Análisis de Riesgos'!G606='Tablas AR'!$B$12,3,"")))</f>
        <v/>
      </c>
      <c r="I606" s="26" t="str">
        <f t="shared" si="9"/>
        <v/>
      </c>
    </row>
    <row r="607" spans="2:9" x14ac:dyDescent="0.25">
      <c r="B607" s="27" t="str">
        <f>IFERROR(INDEX(Activos!$B$3:$C$16, MATCH(C607,Activos!$B$3:$B$16),2),"")</f>
        <v/>
      </c>
      <c r="C607" s="27"/>
      <c r="D607" s="27"/>
      <c r="E607" s="25"/>
      <c r="F607" s="26" t="str">
        <f>IF(E607='Tablas AR'!$B$4,1,IF('Análisis de Riesgos'!E607='Tablas AR'!$B$5,2,IF('Análisis de Riesgos'!E607='Tablas AR'!$B$6,3,"")))</f>
        <v/>
      </c>
      <c r="G607" s="25"/>
      <c r="H607" s="26" t="str">
        <f>IF(G607='Tablas AR'!$B$10,1,IF('Análisis de Riesgos'!G607='Tablas AR'!$B$11,2,IF('Análisis de Riesgos'!G607='Tablas AR'!$B$12,3,"")))</f>
        <v/>
      </c>
      <c r="I607" s="26" t="str">
        <f t="shared" si="9"/>
        <v/>
      </c>
    </row>
    <row r="608" spans="2:9" x14ac:dyDescent="0.25">
      <c r="B608" s="27" t="str">
        <f>IFERROR(INDEX(Activos!$B$3:$C$16, MATCH(C608,Activos!$B$3:$B$16),2),"")</f>
        <v/>
      </c>
      <c r="C608" s="27"/>
      <c r="D608" s="27"/>
      <c r="E608" s="25"/>
      <c r="F608" s="26" t="str">
        <f>IF(E608='Tablas AR'!$B$4,1,IF('Análisis de Riesgos'!E608='Tablas AR'!$B$5,2,IF('Análisis de Riesgos'!E608='Tablas AR'!$B$6,3,"")))</f>
        <v/>
      </c>
      <c r="G608" s="25"/>
      <c r="H608" s="26" t="str">
        <f>IF(G608='Tablas AR'!$B$10,1,IF('Análisis de Riesgos'!G608='Tablas AR'!$B$11,2,IF('Análisis de Riesgos'!G608='Tablas AR'!$B$12,3,"")))</f>
        <v/>
      </c>
      <c r="I608" s="26" t="str">
        <f t="shared" si="9"/>
        <v/>
      </c>
    </row>
    <row r="609" spans="2:9" x14ac:dyDescent="0.25">
      <c r="B609" s="27" t="str">
        <f>IFERROR(INDEX(Activos!$B$3:$C$16, MATCH(C609,Activos!$B$3:$B$16),2),"")</f>
        <v/>
      </c>
      <c r="C609" s="27"/>
      <c r="D609" s="27"/>
      <c r="E609" s="25"/>
      <c r="F609" s="26" t="str">
        <f>IF(E609='Tablas AR'!$B$4,1,IF('Análisis de Riesgos'!E609='Tablas AR'!$B$5,2,IF('Análisis de Riesgos'!E609='Tablas AR'!$B$6,3,"")))</f>
        <v/>
      </c>
      <c r="G609" s="25"/>
      <c r="H609" s="26" t="str">
        <f>IF(G609='Tablas AR'!$B$10,1,IF('Análisis de Riesgos'!G609='Tablas AR'!$B$11,2,IF('Análisis de Riesgos'!G609='Tablas AR'!$B$12,3,"")))</f>
        <v/>
      </c>
      <c r="I609" s="26" t="str">
        <f t="shared" si="9"/>
        <v/>
      </c>
    </row>
    <row r="610" spans="2:9" x14ac:dyDescent="0.25">
      <c r="B610" s="27" t="str">
        <f>IFERROR(INDEX(Activos!$B$3:$C$16, MATCH(C610,Activos!$B$3:$B$16),2),"")</f>
        <v/>
      </c>
      <c r="C610" s="27"/>
      <c r="D610" s="27"/>
      <c r="E610" s="25"/>
      <c r="F610" s="26" t="str">
        <f>IF(E610='Tablas AR'!$B$4,1,IF('Análisis de Riesgos'!E610='Tablas AR'!$B$5,2,IF('Análisis de Riesgos'!E610='Tablas AR'!$B$6,3,"")))</f>
        <v/>
      </c>
      <c r="G610" s="25"/>
      <c r="H610" s="26" t="str">
        <f>IF(G610='Tablas AR'!$B$10,1,IF('Análisis de Riesgos'!G610='Tablas AR'!$B$11,2,IF('Análisis de Riesgos'!G610='Tablas AR'!$B$12,3,"")))</f>
        <v/>
      </c>
      <c r="I610" s="26" t="str">
        <f t="shared" si="9"/>
        <v/>
      </c>
    </row>
    <row r="611" spans="2:9" x14ac:dyDescent="0.25">
      <c r="B611" s="27" t="str">
        <f>IFERROR(INDEX(Activos!$B$3:$C$16, MATCH(C611,Activos!$B$3:$B$16),2),"")</f>
        <v/>
      </c>
      <c r="C611" s="27"/>
      <c r="D611" s="27"/>
      <c r="E611" s="25"/>
      <c r="F611" s="26" t="str">
        <f>IF(E611='Tablas AR'!$B$4,1,IF('Análisis de Riesgos'!E611='Tablas AR'!$B$5,2,IF('Análisis de Riesgos'!E611='Tablas AR'!$B$6,3,"")))</f>
        <v/>
      </c>
      <c r="G611" s="25"/>
      <c r="H611" s="26" t="str">
        <f>IF(G611='Tablas AR'!$B$10,1,IF('Análisis de Riesgos'!G611='Tablas AR'!$B$11,2,IF('Análisis de Riesgos'!G611='Tablas AR'!$B$12,3,"")))</f>
        <v/>
      </c>
      <c r="I611" s="26" t="str">
        <f t="shared" si="9"/>
        <v/>
      </c>
    </row>
    <row r="612" spans="2:9" x14ac:dyDescent="0.25">
      <c r="B612" s="27" t="str">
        <f>IFERROR(INDEX(Activos!$B$3:$C$16, MATCH(C612,Activos!$B$3:$B$16),2),"")</f>
        <v/>
      </c>
      <c r="C612" s="27"/>
      <c r="D612" s="27"/>
      <c r="E612" s="25"/>
      <c r="F612" s="26" t="str">
        <f>IF(E612='Tablas AR'!$B$4,1,IF('Análisis de Riesgos'!E612='Tablas AR'!$B$5,2,IF('Análisis de Riesgos'!E612='Tablas AR'!$B$6,3,"")))</f>
        <v/>
      </c>
      <c r="G612" s="25"/>
      <c r="H612" s="26" t="str">
        <f>IF(G612='Tablas AR'!$B$10,1,IF('Análisis de Riesgos'!G612='Tablas AR'!$B$11,2,IF('Análisis de Riesgos'!G612='Tablas AR'!$B$12,3,"")))</f>
        <v/>
      </c>
      <c r="I612" s="26" t="str">
        <f t="shared" si="9"/>
        <v/>
      </c>
    </row>
    <row r="613" spans="2:9" x14ac:dyDescent="0.25">
      <c r="B613" s="27" t="str">
        <f>IFERROR(INDEX(Activos!$B$3:$C$16, MATCH(C613,Activos!$B$3:$B$16),2),"")</f>
        <v/>
      </c>
      <c r="C613" s="27"/>
      <c r="D613" s="27"/>
      <c r="E613" s="25"/>
      <c r="F613" s="26" t="str">
        <f>IF(E613='Tablas AR'!$B$4,1,IF('Análisis de Riesgos'!E613='Tablas AR'!$B$5,2,IF('Análisis de Riesgos'!E613='Tablas AR'!$B$6,3,"")))</f>
        <v/>
      </c>
      <c r="G613" s="25"/>
      <c r="H613" s="26" t="str">
        <f>IF(G613='Tablas AR'!$B$10,1,IF('Análisis de Riesgos'!G613='Tablas AR'!$B$11,2,IF('Análisis de Riesgos'!G613='Tablas AR'!$B$12,3,"")))</f>
        <v/>
      </c>
      <c r="I613" s="26" t="str">
        <f t="shared" si="9"/>
        <v/>
      </c>
    </row>
    <row r="614" spans="2:9" x14ac:dyDescent="0.25">
      <c r="B614" s="27" t="str">
        <f>IFERROR(INDEX(Activos!$B$3:$C$16, MATCH(C614,Activos!$B$3:$B$16),2),"")</f>
        <v/>
      </c>
      <c r="C614" s="27"/>
      <c r="D614" s="27"/>
      <c r="E614" s="25"/>
      <c r="F614" s="26" t="str">
        <f>IF(E614='Tablas AR'!$B$4,1,IF('Análisis de Riesgos'!E614='Tablas AR'!$B$5,2,IF('Análisis de Riesgos'!E614='Tablas AR'!$B$6,3,"")))</f>
        <v/>
      </c>
      <c r="G614" s="25"/>
      <c r="H614" s="26" t="str">
        <f>IF(G614='Tablas AR'!$B$10,1,IF('Análisis de Riesgos'!G614='Tablas AR'!$B$11,2,IF('Análisis de Riesgos'!G614='Tablas AR'!$B$12,3,"")))</f>
        <v/>
      </c>
      <c r="I614" s="26" t="str">
        <f t="shared" si="9"/>
        <v/>
      </c>
    </row>
    <row r="615" spans="2:9" x14ac:dyDescent="0.25">
      <c r="B615" s="27" t="str">
        <f>IFERROR(INDEX(Activos!$B$3:$C$16, MATCH(C615,Activos!$B$3:$B$16),2),"")</f>
        <v/>
      </c>
      <c r="C615" s="27"/>
      <c r="D615" s="27"/>
      <c r="E615" s="25"/>
      <c r="F615" s="26" t="str">
        <f>IF(E615='Tablas AR'!$B$4,1,IF('Análisis de Riesgos'!E615='Tablas AR'!$B$5,2,IF('Análisis de Riesgos'!E615='Tablas AR'!$B$6,3,"")))</f>
        <v/>
      </c>
      <c r="G615" s="25"/>
      <c r="H615" s="26" t="str">
        <f>IF(G615='Tablas AR'!$B$10,1,IF('Análisis de Riesgos'!G615='Tablas AR'!$B$11,2,IF('Análisis de Riesgos'!G615='Tablas AR'!$B$12,3,"")))</f>
        <v/>
      </c>
      <c r="I615" s="26" t="str">
        <f t="shared" si="9"/>
        <v/>
      </c>
    </row>
    <row r="616" spans="2:9" x14ac:dyDescent="0.25">
      <c r="B616" s="27" t="str">
        <f>IFERROR(INDEX(Activos!$B$3:$C$16, MATCH(C616,Activos!$B$3:$B$16),2),"")</f>
        <v/>
      </c>
      <c r="C616" s="27"/>
      <c r="D616" s="27"/>
      <c r="E616" s="25"/>
      <c r="F616" s="26" t="str">
        <f>IF(E616='Tablas AR'!$B$4,1,IF('Análisis de Riesgos'!E616='Tablas AR'!$B$5,2,IF('Análisis de Riesgos'!E616='Tablas AR'!$B$6,3,"")))</f>
        <v/>
      </c>
      <c r="G616" s="25"/>
      <c r="H616" s="26" t="str">
        <f>IF(G616='Tablas AR'!$B$10,1,IF('Análisis de Riesgos'!G616='Tablas AR'!$B$11,2,IF('Análisis de Riesgos'!G616='Tablas AR'!$B$12,3,"")))</f>
        <v/>
      </c>
      <c r="I616" s="26" t="str">
        <f t="shared" si="9"/>
        <v/>
      </c>
    </row>
    <row r="617" spans="2:9" x14ac:dyDescent="0.25">
      <c r="B617" s="27" t="str">
        <f>IFERROR(INDEX(Activos!$B$3:$C$16, MATCH(C617,Activos!$B$3:$B$16),2),"")</f>
        <v/>
      </c>
      <c r="C617" s="27"/>
      <c r="D617" s="27"/>
      <c r="E617" s="25"/>
      <c r="F617" s="26" t="str">
        <f>IF(E617='Tablas AR'!$B$4,1,IF('Análisis de Riesgos'!E617='Tablas AR'!$B$5,2,IF('Análisis de Riesgos'!E617='Tablas AR'!$B$6,3,"")))</f>
        <v/>
      </c>
      <c r="G617" s="25"/>
      <c r="H617" s="26" t="str">
        <f>IF(G617='Tablas AR'!$B$10,1,IF('Análisis de Riesgos'!G617='Tablas AR'!$B$11,2,IF('Análisis de Riesgos'!G617='Tablas AR'!$B$12,3,"")))</f>
        <v/>
      </c>
      <c r="I617" s="26" t="str">
        <f t="shared" si="9"/>
        <v/>
      </c>
    </row>
    <row r="618" spans="2:9" x14ac:dyDescent="0.25">
      <c r="B618" s="27" t="str">
        <f>IFERROR(INDEX(Activos!$B$3:$C$16, MATCH(C618,Activos!$B$3:$B$16),2),"")</f>
        <v/>
      </c>
      <c r="C618" s="27"/>
      <c r="D618" s="27"/>
      <c r="E618" s="25"/>
      <c r="F618" s="26" t="str">
        <f>IF(E618='Tablas AR'!$B$4,1,IF('Análisis de Riesgos'!E618='Tablas AR'!$B$5,2,IF('Análisis de Riesgos'!E618='Tablas AR'!$B$6,3,"")))</f>
        <v/>
      </c>
      <c r="G618" s="25"/>
      <c r="H618" s="26" t="str">
        <f>IF(G618='Tablas AR'!$B$10,1,IF('Análisis de Riesgos'!G618='Tablas AR'!$B$11,2,IF('Análisis de Riesgos'!G618='Tablas AR'!$B$12,3,"")))</f>
        <v/>
      </c>
      <c r="I618" s="26" t="str">
        <f t="shared" si="9"/>
        <v/>
      </c>
    </row>
    <row r="619" spans="2:9" x14ac:dyDescent="0.25">
      <c r="B619" s="27" t="str">
        <f>IFERROR(INDEX(Activos!$B$3:$C$16, MATCH(C619,Activos!$B$3:$B$16),2),"")</f>
        <v/>
      </c>
      <c r="C619" s="27"/>
      <c r="D619" s="27"/>
      <c r="E619" s="25"/>
      <c r="F619" s="26" t="str">
        <f>IF(E619='Tablas AR'!$B$4,1,IF('Análisis de Riesgos'!E619='Tablas AR'!$B$5,2,IF('Análisis de Riesgos'!E619='Tablas AR'!$B$6,3,"")))</f>
        <v/>
      </c>
      <c r="G619" s="25"/>
      <c r="H619" s="26" t="str">
        <f>IF(G619='Tablas AR'!$B$10,1,IF('Análisis de Riesgos'!G619='Tablas AR'!$B$11,2,IF('Análisis de Riesgos'!G619='Tablas AR'!$B$12,3,"")))</f>
        <v/>
      </c>
      <c r="I619" s="26" t="str">
        <f t="shared" si="9"/>
        <v/>
      </c>
    </row>
    <row r="620" spans="2:9" x14ac:dyDescent="0.25">
      <c r="B620" s="27" t="str">
        <f>IFERROR(INDEX(Activos!$B$3:$C$16, MATCH(C620,Activos!$B$3:$B$16),2),"")</f>
        <v/>
      </c>
      <c r="C620" s="27"/>
      <c r="D620" s="27"/>
      <c r="E620" s="25"/>
      <c r="F620" s="26" t="str">
        <f>IF(E620='Tablas AR'!$B$4,1,IF('Análisis de Riesgos'!E620='Tablas AR'!$B$5,2,IF('Análisis de Riesgos'!E620='Tablas AR'!$B$6,3,"")))</f>
        <v/>
      </c>
      <c r="G620" s="25"/>
      <c r="H620" s="26" t="str">
        <f>IF(G620='Tablas AR'!$B$10,1,IF('Análisis de Riesgos'!G620='Tablas AR'!$B$11,2,IF('Análisis de Riesgos'!G620='Tablas AR'!$B$12,3,"")))</f>
        <v/>
      </c>
      <c r="I620" s="26" t="str">
        <f t="shared" si="9"/>
        <v/>
      </c>
    </row>
    <row r="621" spans="2:9" x14ac:dyDescent="0.25">
      <c r="B621" s="27" t="str">
        <f>IFERROR(INDEX(Activos!$B$3:$C$16, MATCH(C621,Activos!$B$3:$B$16),2),"")</f>
        <v/>
      </c>
      <c r="C621" s="27"/>
      <c r="D621" s="27"/>
      <c r="E621" s="25"/>
      <c r="F621" s="26" t="str">
        <f>IF(E621='Tablas AR'!$B$4,1,IF('Análisis de Riesgos'!E621='Tablas AR'!$B$5,2,IF('Análisis de Riesgos'!E621='Tablas AR'!$B$6,3,"")))</f>
        <v/>
      </c>
      <c r="G621" s="25"/>
      <c r="H621" s="26" t="str">
        <f>IF(G621='Tablas AR'!$B$10,1,IF('Análisis de Riesgos'!G621='Tablas AR'!$B$11,2,IF('Análisis de Riesgos'!G621='Tablas AR'!$B$12,3,"")))</f>
        <v/>
      </c>
      <c r="I621" s="26" t="str">
        <f t="shared" si="9"/>
        <v/>
      </c>
    </row>
    <row r="622" spans="2:9" x14ac:dyDescent="0.25">
      <c r="B622" s="27" t="str">
        <f>IFERROR(INDEX(Activos!$B$3:$C$16, MATCH(C622,Activos!$B$3:$B$16),2),"")</f>
        <v/>
      </c>
      <c r="C622" s="27"/>
      <c r="D622" s="27"/>
      <c r="E622" s="25"/>
      <c r="F622" s="26" t="str">
        <f>IF(E622='Tablas AR'!$B$4,1,IF('Análisis de Riesgos'!E622='Tablas AR'!$B$5,2,IF('Análisis de Riesgos'!E622='Tablas AR'!$B$6,3,"")))</f>
        <v/>
      </c>
      <c r="G622" s="25"/>
      <c r="H622" s="26" t="str">
        <f>IF(G622='Tablas AR'!$B$10,1,IF('Análisis de Riesgos'!G622='Tablas AR'!$B$11,2,IF('Análisis de Riesgos'!G622='Tablas AR'!$B$12,3,"")))</f>
        <v/>
      </c>
      <c r="I622" s="26" t="str">
        <f t="shared" si="9"/>
        <v/>
      </c>
    </row>
    <row r="623" spans="2:9" x14ac:dyDescent="0.25">
      <c r="B623" s="27" t="str">
        <f>IFERROR(INDEX(Activos!$B$3:$C$16, MATCH(C623,Activos!$B$3:$B$16),2),"")</f>
        <v/>
      </c>
      <c r="C623" s="27"/>
      <c r="D623" s="27"/>
      <c r="E623" s="25"/>
      <c r="F623" s="26" t="str">
        <f>IF(E623='Tablas AR'!$B$4,1,IF('Análisis de Riesgos'!E623='Tablas AR'!$B$5,2,IF('Análisis de Riesgos'!E623='Tablas AR'!$B$6,3,"")))</f>
        <v/>
      </c>
      <c r="G623" s="25"/>
      <c r="H623" s="26" t="str">
        <f>IF(G623='Tablas AR'!$B$10,1,IF('Análisis de Riesgos'!G623='Tablas AR'!$B$11,2,IF('Análisis de Riesgos'!G623='Tablas AR'!$B$12,3,"")))</f>
        <v/>
      </c>
      <c r="I623" s="26" t="str">
        <f t="shared" si="9"/>
        <v/>
      </c>
    </row>
    <row r="624" spans="2:9" x14ac:dyDescent="0.25">
      <c r="B624" s="27" t="str">
        <f>IFERROR(INDEX(Activos!$B$3:$C$16, MATCH(C624,Activos!$B$3:$B$16),2),"")</f>
        <v/>
      </c>
      <c r="C624" s="27"/>
      <c r="D624" s="27"/>
      <c r="E624" s="25"/>
      <c r="F624" s="26" t="str">
        <f>IF(E624='Tablas AR'!$B$4,1,IF('Análisis de Riesgos'!E624='Tablas AR'!$B$5,2,IF('Análisis de Riesgos'!E624='Tablas AR'!$B$6,3,"")))</f>
        <v/>
      </c>
      <c r="G624" s="25"/>
      <c r="H624" s="26" t="str">
        <f>IF(G624='Tablas AR'!$B$10,1,IF('Análisis de Riesgos'!G624='Tablas AR'!$B$11,2,IF('Análisis de Riesgos'!G624='Tablas AR'!$B$12,3,"")))</f>
        <v/>
      </c>
      <c r="I624" s="26" t="str">
        <f t="shared" si="9"/>
        <v/>
      </c>
    </row>
    <row r="625" spans="2:9" x14ac:dyDescent="0.25">
      <c r="B625" s="27" t="str">
        <f>IFERROR(INDEX(Activos!$B$3:$C$16, MATCH(C625,Activos!$B$3:$B$16),2),"")</f>
        <v/>
      </c>
      <c r="C625" s="27"/>
      <c r="D625" s="27"/>
      <c r="E625" s="25"/>
      <c r="F625" s="26" t="str">
        <f>IF(E625='Tablas AR'!$B$4,1,IF('Análisis de Riesgos'!E625='Tablas AR'!$B$5,2,IF('Análisis de Riesgos'!E625='Tablas AR'!$B$6,3,"")))</f>
        <v/>
      </c>
      <c r="G625" s="25"/>
      <c r="H625" s="26" t="str">
        <f>IF(G625='Tablas AR'!$B$10,1,IF('Análisis de Riesgos'!G625='Tablas AR'!$B$11,2,IF('Análisis de Riesgos'!G625='Tablas AR'!$B$12,3,"")))</f>
        <v/>
      </c>
      <c r="I625" s="26" t="str">
        <f t="shared" si="9"/>
        <v/>
      </c>
    </row>
    <row r="626" spans="2:9" x14ac:dyDescent="0.25">
      <c r="B626" s="27" t="str">
        <f>IFERROR(INDEX(Activos!$B$3:$C$16, MATCH(C626,Activos!$B$3:$B$16),2),"")</f>
        <v/>
      </c>
      <c r="C626" s="27"/>
      <c r="D626" s="27"/>
      <c r="E626" s="25"/>
      <c r="F626" s="26" t="str">
        <f>IF(E626='Tablas AR'!$B$4,1,IF('Análisis de Riesgos'!E626='Tablas AR'!$B$5,2,IF('Análisis de Riesgos'!E626='Tablas AR'!$B$6,3,"")))</f>
        <v/>
      </c>
      <c r="G626" s="25"/>
      <c r="H626" s="26" t="str">
        <f>IF(G626='Tablas AR'!$B$10,1,IF('Análisis de Riesgos'!G626='Tablas AR'!$B$11,2,IF('Análisis de Riesgos'!G626='Tablas AR'!$B$12,3,"")))</f>
        <v/>
      </c>
      <c r="I626" s="26" t="str">
        <f t="shared" si="9"/>
        <v/>
      </c>
    </row>
    <row r="627" spans="2:9" x14ac:dyDescent="0.25">
      <c r="B627" s="27" t="str">
        <f>IFERROR(INDEX(Activos!$B$3:$C$16, MATCH(C627,Activos!$B$3:$B$16),2),"")</f>
        <v/>
      </c>
      <c r="C627" s="27"/>
      <c r="D627" s="27"/>
      <c r="E627" s="25"/>
      <c r="F627" s="26" t="str">
        <f>IF(E627='Tablas AR'!$B$4,1,IF('Análisis de Riesgos'!E627='Tablas AR'!$B$5,2,IF('Análisis de Riesgos'!E627='Tablas AR'!$B$6,3,"")))</f>
        <v/>
      </c>
      <c r="G627" s="25"/>
      <c r="H627" s="26" t="str">
        <f>IF(G627='Tablas AR'!$B$10,1,IF('Análisis de Riesgos'!G627='Tablas AR'!$B$11,2,IF('Análisis de Riesgos'!G627='Tablas AR'!$B$12,3,"")))</f>
        <v/>
      </c>
      <c r="I627" s="26" t="str">
        <f t="shared" si="9"/>
        <v/>
      </c>
    </row>
    <row r="628" spans="2:9" x14ac:dyDescent="0.25">
      <c r="B628" s="27" t="str">
        <f>IFERROR(INDEX(Activos!$B$3:$C$16, MATCH(C628,Activos!$B$3:$B$16),2),"")</f>
        <v/>
      </c>
      <c r="C628" s="27"/>
      <c r="D628" s="27"/>
      <c r="E628" s="25"/>
      <c r="F628" s="26" t="str">
        <f>IF(E628='Tablas AR'!$B$4,1,IF('Análisis de Riesgos'!E628='Tablas AR'!$B$5,2,IF('Análisis de Riesgos'!E628='Tablas AR'!$B$6,3,"")))</f>
        <v/>
      </c>
      <c r="G628" s="25"/>
      <c r="H628" s="26" t="str">
        <f>IF(G628='Tablas AR'!$B$10,1,IF('Análisis de Riesgos'!G628='Tablas AR'!$B$11,2,IF('Análisis de Riesgos'!G628='Tablas AR'!$B$12,3,"")))</f>
        <v/>
      </c>
      <c r="I628" s="26" t="str">
        <f t="shared" si="9"/>
        <v/>
      </c>
    </row>
    <row r="629" spans="2:9" x14ac:dyDescent="0.25">
      <c r="B629" s="27" t="str">
        <f>IFERROR(INDEX(Activos!$B$3:$C$16, MATCH(C629,Activos!$B$3:$B$16),2),"")</f>
        <v/>
      </c>
      <c r="C629" s="27"/>
      <c r="D629" s="27"/>
      <c r="E629" s="25"/>
      <c r="F629" s="26" t="str">
        <f>IF(E629='Tablas AR'!$B$4,1,IF('Análisis de Riesgos'!E629='Tablas AR'!$B$5,2,IF('Análisis de Riesgos'!E629='Tablas AR'!$B$6,3,"")))</f>
        <v/>
      </c>
      <c r="G629" s="25"/>
      <c r="H629" s="26" t="str">
        <f>IF(G629='Tablas AR'!$B$10,1,IF('Análisis de Riesgos'!G629='Tablas AR'!$B$11,2,IF('Análisis de Riesgos'!G629='Tablas AR'!$B$12,3,"")))</f>
        <v/>
      </c>
      <c r="I629" s="26" t="str">
        <f t="shared" si="9"/>
        <v/>
      </c>
    </row>
    <row r="630" spans="2:9" x14ac:dyDescent="0.25">
      <c r="B630" s="27" t="str">
        <f>IFERROR(INDEX(Activos!$B$3:$C$16, MATCH(C630,Activos!$B$3:$B$16),2),"")</f>
        <v/>
      </c>
      <c r="C630" s="27"/>
      <c r="D630" s="27"/>
      <c r="E630" s="25"/>
      <c r="F630" s="26" t="str">
        <f>IF(E630='Tablas AR'!$B$4,1,IF('Análisis de Riesgos'!E630='Tablas AR'!$B$5,2,IF('Análisis de Riesgos'!E630='Tablas AR'!$B$6,3,"")))</f>
        <v/>
      </c>
      <c r="G630" s="25"/>
      <c r="H630" s="26" t="str">
        <f>IF(G630='Tablas AR'!$B$10,1,IF('Análisis de Riesgos'!G630='Tablas AR'!$B$11,2,IF('Análisis de Riesgos'!G630='Tablas AR'!$B$12,3,"")))</f>
        <v/>
      </c>
      <c r="I630" s="26" t="str">
        <f t="shared" si="9"/>
        <v/>
      </c>
    </row>
    <row r="631" spans="2:9" x14ac:dyDescent="0.25">
      <c r="B631" s="27" t="str">
        <f>IFERROR(INDEX(Activos!$B$3:$C$16, MATCH(C631,Activos!$B$3:$B$16),2),"")</f>
        <v/>
      </c>
      <c r="C631" s="27"/>
      <c r="D631" s="27"/>
      <c r="E631" s="25"/>
      <c r="F631" s="26" t="str">
        <f>IF(E631='Tablas AR'!$B$4,1,IF('Análisis de Riesgos'!E631='Tablas AR'!$B$5,2,IF('Análisis de Riesgos'!E631='Tablas AR'!$B$6,3,"")))</f>
        <v/>
      </c>
      <c r="G631" s="25"/>
      <c r="H631" s="26" t="str">
        <f>IF(G631='Tablas AR'!$B$10,1,IF('Análisis de Riesgos'!G631='Tablas AR'!$B$11,2,IF('Análisis de Riesgos'!G631='Tablas AR'!$B$12,3,"")))</f>
        <v/>
      </c>
      <c r="I631" s="26" t="str">
        <f t="shared" si="9"/>
        <v/>
      </c>
    </row>
    <row r="632" spans="2:9" x14ac:dyDescent="0.25">
      <c r="B632" s="27" t="str">
        <f>IFERROR(INDEX(Activos!$B$3:$C$16, MATCH(C632,Activos!$B$3:$B$16),2),"")</f>
        <v/>
      </c>
      <c r="C632" s="27"/>
      <c r="D632" s="27"/>
      <c r="E632" s="25"/>
      <c r="F632" s="26" t="str">
        <f>IF(E632='Tablas AR'!$B$4,1,IF('Análisis de Riesgos'!E632='Tablas AR'!$B$5,2,IF('Análisis de Riesgos'!E632='Tablas AR'!$B$6,3,"")))</f>
        <v/>
      </c>
      <c r="G632" s="25"/>
      <c r="H632" s="26" t="str">
        <f>IF(G632='Tablas AR'!$B$10,1,IF('Análisis de Riesgos'!G632='Tablas AR'!$B$11,2,IF('Análisis de Riesgos'!G632='Tablas AR'!$B$12,3,"")))</f>
        <v/>
      </c>
      <c r="I632" s="26" t="str">
        <f t="shared" si="9"/>
        <v/>
      </c>
    </row>
    <row r="633" spans="2:9" x14ac:dyDescent="0.25">
      <c r="B633" s="27" t="str">
        <f>IFERROR(INDEX(Activos!$B$3:$C$16, MATCH(C633,Activos!$B$3:$B$16),2),"")</f>
        <v/>
      </c>
      <c r="C633" s="27"/>
      <c r="D633" s="27"/>
      <c r="E633" s="25"/>
      <c r="F633" s="26" t="str">
        <f>IF(E633='Tablas AR'!$B$4,1,IF('Análisis de Riesgos'!E633='Tablas AR'!$B$5,2,IF('Análisis de Riesgos'!E633='Tablas AR'!$B$6,3,"")))</f>
        <v/>
      </c>
      <c r="G633" s="25"/>
      <c r="H633" s="26" t="str">
        <f>IF(G633='Tablas AR'!$B$10,1,IF('Análisis de Riesgos'!G633='Tablas AR'!$B$11,2,IF('Análisis de Riesgos'!G633='Tablas AR'!$B$12,3,"")))</f>
        <v/>
      </c>
      <c r="I633" s="26" t="str">
        <f t="shared" si="9"/>
        <v/>
      </c>
    </row>
    <row r="634" spans="2:9" x14ac:dyDescent="0.25">
      <c r="B634" s="27" t="str">
        <f>IFERROR(INDEX(Activos!$B$3:$C$16, MATCH(C634,Activos!$B$3:$B$16),2),"")</f>
        <v/>
      </c>
      <c r="C634" s="27"/>
      <c r="D634" s="27"/>
      <c r="E634" s="25"/>
      <c r="F634" s="26" t="str">
        <f>IF(E634='Tablas AR'!$B$4,1,IF('Análisis de Riesgos'!E634='Tablas AR'!$B$5,2,IF('Análisis de Riesgos'!E634='Tablas AR'!$B$6,3,"")))</f>
        <v/>
      </c>
      <c r="G634" s="25"/>
      <c r="H634" s="26" t="str">
        <f>IF(G634='Tablas AR'!$B$10,1,IF('Análisis de Riesgos'!G634='Tablas AR'!$B$11,2,IF('Análisis de Riesgos'!G634='Tablas AR'!$B$12,3,"")))</f>
        <v/>
      </c>
      <c r="I634" s="26" t="str">
        <f t="shared" si="9"/>
        <v/>
      </c>
    </row>
    <row r="635" spans="2:9" x14ac:dyDescent="0.25">
      <c r="B635" s="27" t="str">
        <f>IFERROR(INDEX(Activos!$B$3:$C$16, MATCH(C635,Activos!$B$3:$B$16),2),"")</f>
        <v/>
      </c>
      <c r="C635" s="27"/>
      <c r="D635" s="27"/>
      <c r="E635" s="25"/>
      <c r="F635" s="26" t="str">
        <f>IF(E635='Tablas AR'!$B$4,1,IF('Análisis de Riesgos'!E635='Tablas AR'!$B$5,2,IF('Análisis de Riesgos'!E635='Tablas AR'!$B$6,3,"")))</f>
        <v/>
      </c>
      <c r="G635" s="25"/>
      <c r="H635" s="26" t="str">
        <f>IF(G635='Tablas AR'!$B$10,1,IF('Análisis de Riesgos'!G635='Tablas AR'!$B$11,2,IF('Análisis de Riesgos'!G635='Tablas AR'!$B$12,3,"")))</f>
        <v/>
      </c>
      <c r="I635" s="26" t="str">
        <f t="shared" si="9"/>
        <v/>
      </c>
    </row>
    <row r="636" spans="2:9" x14ac:dyDescent="0.25">
      <c r="B636" s="27" t="str">
        <f>IFERROR(INDEX(Activos!$B$3:$C$16, MATCH(C636,Activos!$B$3:$B$16),2),"")</f>
        <v/>
      </c>
      <c r="C636" s="27"/>
      <c r="D636" s="27"/>
      <c r="E636" s="25"/>
      <c r="F636" s="26" t="str">
        <f>IF(E636='Tablas AR'!$B$4,1,IF('Análisis de Riesgos'!E636='Tablas AR'!$B$5,2,IF('Análisis de Riesgos'!E636='Tablas AR'!$B$6,3,"")))</f>
        <v/>
      </c>
      <c r="G636" s="25"/>
      <c r="H636" s="26" t="str">
        <f>IF(G636='Tablas AR'!$B$10,1,IF('Análisis de Riesgos'!G636='Tablas AR'!$B$11,2,IF('Análisis de Riesgos'!G636='Tablas AR'!$B$12,3,"")))</f>
        <v/>
      </c>
      <c r="I636" s="26" t="str">
        <f t="shared" si="9"/>
        <v/>
      </c>
    </row>
    <row r="637" spans="2:9" x14ac:dyDescent="0.25">
      <c r="B637" s="27" t="str">
        <f>IFERROR(INDEX(Activos!$B$3:$C$16, MATCH(C637,Activos!$B$3:$B$16),2),"")</f>
        <v/>
      </c>
      <c r="C637" s="27"/>
      <c r="D637" s="27"/>
      <c r="E637" s="25"/>
      <c r="F637" s="26" t="str">
        <f>IF(E637='Tablas AR'!$B$4,1,IF('Análisis de Riesgos'!E637='Tablas AR'!$B$5,2,IF('Análisis de Riesgos'!E637='Tablas AR'!$B$6,3,"")))</f>
        <v/>
      </c>
      <c r="G637" s="25"/>
      <c r="H637" s="26" t="str">
        <f>IF(G637='Tablas AR'!$B$10,1,IF('Análisis de Riesgos'!G637='Tablas AR'!$B$11,2,IF('Análisis de Riesgos'!G637='Tablas AR'!$B$12,3,"")))</f>
        <v/>
      </c>
      <c r="I637" s="26" t="str">
        <f t="shared" si="9"/>
        <v/>
      </c>
    </row>
    <row r="638" spans="2:9" x14ac:dyDescent="0.25">
      <c r="B638" s="27" t="str">
        <f>IFERROR(INDEX(Activos!$B$3:$C$16, MATCH(C638,Activos!$B$3:$B$16),2),"")</f>
        <v/>
      </c>
      <c r="C638" s="27"/>
      <c r="D638" s="27"/>
      <c r="E638" s="25"/>
      <c r="F638" s="26" t="str">
        <f>IF(E638='Tablas AR'!$B$4,1,IF('Análisis de Riesgos'!E638='Tablas AR'!$B$5,2,IF('Análisis de Riesgos'!E638='Tablas AR'!$B$6,3,"")))</f>
        <v/>
      </c>
      <c r="G638" s="25"/>
      <c r="H638" s="26" t="str">
        <f>IF(G638='Tablas AR'!$B$10,1,IF('Análisis de Riesgos'!G638='Tablas AR'!$B$11,2,IF('Análisis de Riesgos'!G638='Tablas AR'!$B$12,3,"")))</f>
        <v/>
      </c>
      <c r="I638" s="26" t="str">
        <f t="shared" si="9"/>
        <v/>
      </c>
    </row>
    <row r="639" spans="2:9" x14ac:dyDescent="0.25">
      <c r="B639" s="27" t="str">
        <f>IFERROR(INDEX(Activos!$B$3:$C$16, MATCH(C639,Activos!$B$3:$B$16),2),"")</f>
        <v/>
      </c>
      <c r="C639" s="27"/>
      <c r="D639" s="27"/>
      <c r="E639" s="25"/>
      <c r="F639" s="26" t="str">
        <f>IF(E639='Tablas AR'!$B$4,1,IF('Análisis de Riesgos'!E639='Tablas AR'!$B$5,2,IF('Análisis de Riesgos'!E639='Tablas AR'!$B$6,3,"")))</f>
        <v/>
      </c>
      <c r="G639" s="25"/>
      <c r="H639" s="26" t="str">
        <f>IF(G639='Tablas AR'!$B$10,1,IF('Análisis de Riesgos'!G639='Tablas AR'!$B$11,2,IF('Análisis de Riesgos'!G639='Tablas AR'!$B$12,3,"")))</f>
        <v/>
      </c>
      <c r="I639" s="26" t="str">
        <f t="shared" si="9"/>
        <v/>
      </c>
    </row>
    <row r="640" spans="2:9" x14ac:dyDescent="0.25">
      <c r="B640" s="27" t="str">
        <f>IFERROR(INDEX(Activos!$B$3:$C$16, MATCH(C640,Activos!$B$3:$B$16),2),"")</f>
        <v/>
      </c>
      <c r="C640" s="27"/>
      <c r="D640" s="27"/>
      <c r="E640" s="25"/>
      <c r="F640" s="26" t="str">
        <f>IF(E640='Tablas AR'!$B$4,1,IF('Análisis de Riesgos'!E640='Tablas AR'!$B$5,2,IF('Análisis de Riesgos'!E640='Tablas AR'!$B$6,3,"")))</f>
        <v/>
      </c>
      <c r="G640" s="25"/>
      <c r="H640" s="26" t="str">
        <f>IF(G640='Tablas AR'!$B$10,1,IF('Análisis de Riesgos'!G640='Tablas AR'!$B$11,2,IF('Análisis de Riesgos'!G640='Tablas AR'!$B$12,3,"")))</f>
        <v/>
      </c>
      <c r="I640" s="26" t="str">
        <f t="shared" si="9"/>
        <v/>
      </c>
    </row>
    <row r="641" spans="2:9" x14ac:dyDescent="0.25">
      <c r="B641" s="27" t="str">
        <f>IFERROR(INDEX(Activos!$B$3:$C$16, MATCH(C641,Activos!$B$3:$B$16),2),"")</f>
        <v/>
      </c>
      <c r="C641" s="27"/>
      <c r="D641" s="27"/>
      <c r="E641" s="25"/>
      <c r="F641" s="26" t="str">
        <f>IF(E641='Tablas AR'!$B$4,1,IF('Análisis de Riesgos'!E641='Tablas AR'!$B$5,2,IF('Análisis de Riesgos'!E641='Tablas AR'!$B$6,3,"")))</f>
        <v/>
      </c>
      <c r="G641" s="25"/>
      <c r="H641" s="26" t="str">
        <f>IF(G641='Tablas AR'!$B$10,1,IF('Análisis de Riesgos'!G641='Tablas AR'!$B$11,2,IF('Análisis de Riesgos'!G641='Tablas AR'!$B$12,3,"")))</f>
        <v/>
      </c>
      <c r="I641" s="26" t="str">
        <f t="shared" si="9"/>
        <v/>
      </c>
    </row>
    <row r="642" spans="2:9" x14ac:dyDescent="0.25">
      <c r="B642" s="27" t="str">
        <f>IFERROR(INDEX(Activos!$B$3:$C$16, MATCH(C642,Activos!$B$3:$B$16),2),"")</f>
        <v/>
      </c>
      <c r="C642" s="27"/>
      <c r="D642" s="27"/>
      <c r="E642" s="25"/>
      <c r="F642" s="26" t="str">
        <f>IF(E642='Tablas AR'!$B$4,1,IF('Análisis de Riesgos'!E642='Tablas AR'!$B$5,2,IF('Análisis de Riesgos'!E642='Tablas AR'!$B$6,3,"")))</f>
        <v/>
      </c>
      <c r="G642" s="25"/>
      <c r="H642" s="26" t="str">
        <f>IF(G642='Tablas AR'!$B$10,1,IF('Análisis de Riesgos'!G642='Tablas AR'!$B$11,2,IF('Análisis de Riesgos'!G642='Tablas AR'!$B$12,3,"")))</f>
        <v/>
      </c>
      <c r="I642" s="26" t="str">
        <f t="shared" si="9"/>
        <v/>
      </c>
    </row>
    <row r="643" spans="2:9" x14ac:dyDescent="0.25">
      <c r="B643" s="27" t="str">
        <f>IFERROR(INDEX(Activos!$B$3:$C$16, MATCH(C643,Activos!$B$3:$B$16),2),"")</f>
        <v/>
      </c>
      <c r="C643" s="27"/>
      <c r="D643" s="27"/>
      <c r="E643" s="25"/>
      <c r="F643" s="26" t="str">
        <f>IF(E643='Tablas AR'!$B$4,1,IF('Análisis de Riesgos'!E643='Tablas AR'!$B$5,2,IF('Análisis de Riesgos'!E643='Tablas AR'!$B$6,3,"")))</f>
        <v/>
      </c>
      <c r="G643" s="25"/>
      <c r="H643" s="26" t="str">
        <f>IF(G643='Tablas AR'!$B$10,1,IF('Análisis de Riesgos'!G643='Tablas AR'!$B$11,2,IF('Análisis de Riesgos'!G643='Tablas AR'!$B$12,3,"")))</f>
        <v/>
      </c>
      <c r="I643" s="26" t="str">
        <f t="shared" si="9"/>
        <v/>
      </c>
    </row>
    <row r="644" spans="2:9" x14ac:dyDescent="0.25">
      <c r="B644" s="27" t="str">
        <f>IFERROR(INDEX(Activos!$B$3:$C$16, MATCH(C644,Activos!$B$3:$B$16),2),"")</f>
        <v/>
      </c>
      <c r="C644" s="27"/>
      <c r="D644" s="27"/>
      <c r="E644" s="25"/>
      <c r="F644" s="26" t="str">
        <f>IF(E644='Tablas AR'!$B$4,1,IF('Análisis de Riesgos'!E644='Tablas AR'!$B$5,2,IF('Análisis de Riesgos'!E644='Tablas AR'!$B$6,3,"")))</f>
        <v/>
      </c>
      <c r="G644" s="25"/>
      <c r="H644" s="26" t="str">
        <f>IF(G644='Tablas AR'!$B$10,1,IF('Análisis de Riesgos'!G644='Tablas AR'!$B$11,2,IF('Análisis de Riesgos'!G644='Tablas AR'!$B$12,3,"")))</f>
        <v/>
      </c>
      <c r="I644" s="26" t="str">
        <f t="shared" ref="I644:I707" si="10" xml:space="preserve"> IFERROR(F644*H644,"")</f>
        <v/>
      </c>
    </row>
    <row r="645" spans="2:9" x14ac:dyDescent="0.25">
      <c r="B645" s="27" t="str">
        <f>IFERROR(INDEX(Activos!$B$3:$C$16, MATCH(C645,Activos!$B$3:$B$16),2),"")</f>
        <v/>
      </c>
      <c r="C645" s="27"/>
      <c r="D645" s="27"/>
      <c r="E645" s="25"/>
      <c r="F645" s="26" t="str">
        <f>IF(E645='Tablas AR'!$B$4,1,IF('Análisis de Riesgos'!E645='Tablas AR'!$B$5,2,IF('Análisis de Riesgos'!E645='Tablas AR'!$B$6,3,"")))</f>
        <v/>
      </c>
      <c r="G645" s="25"/>
      <c r="H645" s="26" t="str">
        <f>IF(G645='Tablas AR'!$B$10,1,IF('Análisis de Riesgos'!G645='Tablas AR'!$B$11,2,IF('Análisis de Riesgos'!G645='Tablas AR'!$B$12,3,"")))</f>
        <v/>
      </c>
      <c r="I645" s="26" t="str">
        <f t="shared" si="10"/>
        <v/>
      </c>
    </row>
    <row r="646" spans="2:9" x14ac:dyDescent="0.25">
      <c r="B646" s="27" t="str">
        <f>IFERROR(INDEX(Activos!$B$3:$C$16, MATCH(C646,Activos!$B$3:$B$16),2),"")</f>
        <v/>
      </c>
      <c r="C646" s="27"/>
      <c r="D646" s="27"/>
      <c r="E646" s="25"/>
      <c r="F646" s="26" t="str">
        <f>IF(E646='Tablas AR'!$B$4,1,IF('Análisis de Riesgos'!E646='Tablas AR'!$B$5,2,IF('Análisis de Riesgos'!E646='Tablas AR'!$B$6,3,"")))</f>
        <v/>
      </c>
      <c r="G646" s="25"/>
      <c r="H646" s="26" t="str">
        <f>IF(G646='Tablas AR'!$B$10,1,IF('Análisis de Riesgos'!G646='Tablas AR'!$B$11,2,IF('Análisis de Riesgos'!G646='Tablas AR'!$B$12,3,"")))</f>
        <v/>
      </c>
      <c r="I646" s="26" t="str">
        <f t="shared" si="10"/>
        <v/>
      </c>
    </row>
    <row r="647" spans="2:9" x14ac:dyDescent="0.25">
      <c r="B647" s="27" t="str">
        <f>IFERROR(INDEX(Activos!$B$3:$C$16, MATCH(C647,Activos!$B$3:$B$16),2),"")</f>
        <v/>
      </c>
      <c r="C647" s="27"/>
      <c r="D647" s="27"/>
      <c r="E647" s="25"/>
      <c r="F647" s="26" t="str">
        <f>IF(E647='Tablas AR'!$B$4,1,IF('Análisis de Riesgos'!E647='Tablas AR'!$B$5,2,IF('Análisis de Riesgos'!E647='Tablas AR'!$B$6,3,"")))</f>
        <v/>
      </c>
      <c r="G647" s="25"/>
      <c r="H647" s="26" t="str">
        <f>IF(G647='Tablas AR'!$B$10,1,IF('Análisis de Riesgos'!G647='Tablas AR'!$B$11,2,IF('Análisis de Riesgos'!G647='Tablas AR'!$B$12,3,"")))</f>
        <v/>
      </c>
      <c r="I647" s="26" t="str">
        <f t="shared" si="10"/>
        <v/>
      </c>
    </row>
    <row r="648" spans="2:9" x14ac:dyDescent="0.25">
      <c r="B648" s="27" t="str">
        <f>IFERROR(INDEX(Activos!$B$3:$C$16, MATCH(C648,Activos!$B$3:$B$16),2),"")</f>
        <v/>
      </c>
      <c r="C648" s="27"/>
      <c r="D648" s="27"/>
      <c r="E648" s="25"/>
      <c r="F648" s="26" t="str">
        <f>IF(E648='Tablas AR'!$B$4,1,IF('Análisis de Riesgos'!E648='Tablas AR'!$B$5,2,IF('Análisis de Riesgos'!E648='Tablas AR'!$B$6,3,"")))</f>
        <v/>
      </c>
      <c r="G648" s="25"/>
      <c r="H648" s="26" t="str">
        <f>IF(G648='Tablas AR'!$B$10,1,IF('Análisis de Riesgos'!G648='Tablas AR'!$B$11,2,IF('Análisis de Riesgos'!G648='Tablas AR'!$B$12,3,"")))</f>
        <v/>
      </c>
      <c r="I648" s="26" t="str">
        <f t="shared" si="10"/>
        <v/>
      </c>
    </row>
    <row r="649" spans="2:9" x14ac:dyDescent="0.25">
      <c r="B649" s="27" t="str">
        <f>IFERROR(INDEX(Activos!$B$3:$C$16, MATCH(C649,Activos!$B$3:$B$16),2),"")</f>
        <v/>
      </c>
      <c r="C649" s="27"/>
      <c r="D649" s="27"/>
      <c r="E649" s="25"/>
      <c r="F649" s="26" t="str">
        <f>IF(E649='Tablas AR'!$B$4,1,IF('Análisis de Riesgos'!E649='Tablas AR'!$B$5,2,IF('Análisis de Riesgos'!E649='Tablas AR'!$B$6,3,"")))</f>
        <v/>
      </c>
      <c r="G649" s="25"/>
      <c r="H649" s="26" t="str">
        <f>IF(G649='Tablas AR'!$B$10,1,IF('Análisis de Riesgos'!G649='Tablas AR'!$B$11,2,IF('Análisis de Riesgos'!G649='Tablas AR'!$B$12,3,"")))</f>
        <v/>
      </c>
      <c r="I649" s="26" t="str">
        <f t="shared" si="10"/>
        <v/>
      </c>
    </row>
    <row r="650" spans="2:9" x14ac:dyDescent="0.25">
      <c r="B650" s="27" t="str">
        <f>IFERROR(INDEX(Activos!$B$3:$C$16, MATCH(C650,Activos!$B$3:$B$16),2),"")</f>
        <v/>
      </c>
      <c r="C650" s="27"/>
      <c r="D650" s="27"/>
      <c r="E650" s="25"/>
      <c r="F650" s="26" t="str">
        <f>IF(E650='Tablas AR'!$B$4,1,IF('Análisis de Riesgos'!E650='Tablas AR'!$B$5,2,IF('Análisis de Riesgos'!E650='Tablas AR'!$B$6,3,"")))</f>
        <v/>
      </c>
      <c r="G650" s="25"/>
      <c r="H650" s="26" t="str">
        <f>IF(G650='Tablas AR'!$B$10,1,IF('Análisis de Riesgos'!G650='Tablas AR'!$B$11,2,IF('Análisis de Riesgos'!G650='Tablas AR'!$B$12,3,"")))</f>
        <v/>
      </c>
      <c r="I650" s="26" t="str">
        <f t="shared" si="10"/>
        <v/>
      </c>
    </row>
    <row r="651" spans="2:9" x14ac:dyDescent="0.25">
      <c r="B651" s="27" t="str">
        <f>IFERROR(INDEX(Activos!$B$3:$C$16, MATCH(C651,Activos!$B$3:$B$16),2),"")</f>
        <v/>
      </c>
      <c r="C651" s="27"/>
      <c r="D651" s="27"/>
      <c r="E651" s="25"/>
      <c r="F651" s="26" t="str">
        <f>IF(E651='Tablas AR'!$B$4,1,IF('Análisis de Riesgos'!E651='Tablas AR'!$B$5,2,IF('Análisis de Riesgos'!E651='Tablas AR'!$B$6,3,"")))</f>
        <v/>
      </c>
      <c r="G651" s="25"/>
      <c r="H651" s="26" t="str">
        <f>IF(G651='Tablas AR'!$B$10,1,IF('Análisis de Riesgos'!G651='Tablas AR'!$B$11,2,IF('Análisis de Riesgos'!G651='Tablas AR'!$B$12,3,"")))</f>
        <v/>
      </c>
      <c r="I651" s="26" t="str">
        <f t="shared" si="10"/>
        <v/>
      </c>
    </row>
    <row r="652" spans="2:9" x14ac:dyDescent="0.25">
      <c r="B652" s="27" t="str">
        <f>IFERROR(INDEX(Activos!$B$3:$C$16, MATCH(C652,Activos!$B$3:$B$16),2),"")</f>
        <v/>
      </c>
      <c r="C652" s="27"/>
      <c r="D652" s="27"/>
      <c r="E652" s="25"/>
      <c r="F652" s="26" t="str">
        <f>IF(E652='Tablas AR'!$B$4,1,IF('Análisis de Riesgos'!E652='Tablas AR'!$B$5,2,IF('Análisis de Riesgos'!E652='Tablas AR'!$B$6,3,"")))</f>
        <v/>
      </c>
      <c r="G652" s="25"/>
      <c r="H652" s="26" t="str">
        <f>IF(G652='Tablas AR'!$B$10,1,IF('Análisis de Riesgos'!G652='Tablas AR'!$B$11,2,IF('Análisis de Riesgos'!G652='Tablas AR'!$B$12,3,"")))</f>
        <v/>
      </c>
      <c r="I652" s="26" t="str">
        <f t="shared" si="10"/>
        <v/>
      </c>
    </row>
    <row r="653" spans="2:9" x14ac:dyDescent="0.25">
      <c r="B653" s="27" t="str">
        <f>IFERROR(INDEX(Activos!$B$3:$C$16, MATCH(C653,Activos!$B$3:$B$16),2),"")</f>
        <v/>
      </c>
      <c r="C653" s="27"/>
      <c r="D653" s="27"/>
      <c r="E653" s="25"/>
      <c r="F653" s="26" t="str">
        <f>IF(E653='Tablas AR'!$B$4,1,IF('Análisis de Riesgos'!E653='Tablas AR'!$B$5,2,IF('Análisis de Riesgos'!E653='Tablas AR'!$B$6,3,"")))</f>
        <v/>
      </c>
      <c r="G653" s="25"/>
      <c r="H653" s="26" t="str">
        <f>IF(G653='Tablas AR'!$B$10,1,IF('Análisis de Riesgos'!G653='Tablas AR'!$B$11,2,IF('Análisis de Riesgos'!G653='Tablas AR'!$B$12,3,"")))</f>
        <v/>
      </c>
      <c r="I653" s="26" t="str">
        <f t="shared" si="10"/>
        <v/>
      </c>
    </row>
    <row r="654" spans="2:9" x14ac:dyDescent="0.25">
      <c r="B654" s="27" t="str">
        <f>IFERROR(INDEX(Activos!$B$3:$C$16, MATCH(C654,Activos!$B$3:$B$16),2),"")</f>
        <v/>
      </c>
      <c r="C654" s="27"/>
      <c r="D654" s="27"/>
      <c r="E654" s="25"/>
      <c r="F654" s="26" t="str">
        <f>IF(E654='Tablas AR'!$B$4,1,IF('Análisis de Riesgos'!E654='Tablas AR'!$B$5,2,IF('Análisis de Riesgos'!E654='Tablas AR'!$B$6,3,"")))</f>
        <v/>
      </c>
      <c r="G654" s="25"/>
      <c r="H654" s="26" t="str">
        <f>IF(G654='Tablas AR'!$B$10,1,IF('Análisis de Riesgos'!G654='Tablas AR'!$B$11,2,IF('Análisis de Riesgos'!G654='Tablas AR'!$B$12,3,"")))</f>
        <v/>
      </c>
      <c r="I654" s="26" t="str">
        <f t="shared" si="10"/>
        <v/>
      </c>
    </row>
    <row r="655" spans="2:9" x14ac:dyDescent="0.25">
      <c r="B655" s="27" t="str">
        <f>IFERROR(INDEX(Activos!$B$3:$C$16, MATCH(C655,Activos!$B$3:$B$16),2),"")</f>
        <v/>
      </c>
      <c r="C655" s="27"/>
      <c r="D655" s="27"/>
      <c r="E655" s="25"/>
      <c r="F655" s="26" t="str">
        <f>IF(E655='Tablas AR'!$B$4,1,IF('Análisis de Riesgos'!E655='Tablas AR'!$B$5,2,IF('Análisis de Riesgos'!E655='Tablas AR'!$B$6,3,"")))</f>
        <v/>
      </c>
      <c r="G655" s="25"/>
      <c r="H655" s="26" t="str">
        <f>IF(G655='Tablas AR'!$B$10,1,IF('Análisis de Riesgos'!G655='Tablas AR'!$B$11,2,IF('Análisis de Riesgos'!G655='Tablas AR'!$B$12,3,"")))</f>
        <v/>
      </c>
      <c r="I655" s="26" t="str">
        <f t="shared" si="10"/>
        <v/>
      </c>
    </row>
    <row r="656" spans="2:9" x14ac:dyDescent="0.25">
      <c r="B656" s="27" t="str">
        <f>IFERROR(INDEX(Activos!$B$3:$C$16, MATCH(C656,Activos!$B$3:$B$16),2),"")</f>
        <v/>
      </c>
      <c r="C656" s="27"/>
      <c r="D656" s="27"/>
      <c r="E656" s="25"/>
      <c r="F656" s="26" t="str">
        <f>IF(E656='Tablas AR'!$B$4,1,IF('Análisis de Riesgos'!E656='Tablas AR'!$B$5,2,IF('Análisis de Riesgos'!E656='Tablas AR'!$B$6,3,"")))</f>
        <v/>
      </c>
      <c r="G656" s="25"/>
      <c r="H656" s="26" t="str">
        <f>IF(G656='Tablas AR'!$B$10,1,IF('Análisis de Riesgos'!G656='Tablas AR'!$B$11,2,IF('Análisis de Riesgos'!G656='Tablas AR'!$B$12,3,"")))</f>
        <v/>
      </c>
      <c r="I656" s="26" t="str">
        <f t="shared" si="10"/>
        <v/>
      </c>
    </row>
    <row r="657" spans="2:9" x14ac:dyDescent="0.25">
      <c r="B657" s="27" t="str">
        <f>IFERROR(INDEX(Activos!$B$3:$C$16, MATCH(C657,Activos!$B$3:$B$16),2),"")</f>
        <v/>
      </c>
      <c r="C657" s="27"/>
      <c r="D657" s="27"/>
      <c r="E657" s="25"/>
      <c r="F657" s="26" t="str">
        <f>IF(E657='Tablas AR'!$B$4,1,IF('Análisis de Riesgos'!E657='Tablas AR'!$B$5,2,IF('Análisis de Riesgos'!E657='Tablas AR'!$B$6,3,"")))</f>
        <v/>
      </c>
      <c r="G657" s="25"/>
      <c r="H657" s="26" t="str">
        <f>IF(G657='Tablas AR'!$B$10,1,IF('Análisis de Riesgos'!G657='Tablas AR'!$B$11,2,IF('Análisis de Riesgos'!G657='Tablas AR'!$B$12,3,"")))</f>
        <v/>
      </c>
      <c r="I657" s="26" t="str">
        <f t="shared" si="10"/>
        <v/>
      </c>
    </row>
    <row r="658" spans="2:9" x14ac:dyDescent="0.25">
      <c r="B658" s="27" t="str">
        <f>IFERROR(INDEX(Activos!$B$3:$C$16, MATCH(C658,Activos!$B$3:$B$16),2),"")</f>
        <v/>
      </c>
      <c r="C658" s="27"/>
      <c r="D658" s="27"/>
      <c r="E658" s="25"/>
      <c r="F658" s="26" t="str">
        <f>IF(E658='Tablas AR'!$B$4,1,IF('Análisis de Riesgos'!E658='Tablas AR'!$B$5,2,IF('Análisis de Riesgos'!E658='Tablas AR'!$B$6,3,"")))</f>
        <v/>
      </c>
      <c r="G658" s="25"/>
      <c r="H658" s="26" t="str">
        <f>IF(G658='Tablas AR'!$B$10,1,IF('Análisis de Riesgos'!G658='Tablas AR'!$B$11,2,IF('Análisis de Riesgos'!G658='Tablas AR'!$B$12,3,"")))</f>
        <v/>
      </c>
      <c r="I658" s="26" t="str">
        <f t="shared" si="10"/>
        <v/>
      </c>
    </row>
    <row r="659" spans="2:9" x14ac:dyDescent="0.25">
      <c r="B659" s="27" t="str">
        <f>IFERROR(INDEX(Activos!$B$3:$C$16, MATCH(C659,Activos!$B$3:$B$16),2),"")</f>
        <v/>
      </c>
      <c r="C659" s="27"/>
      <c r="D659" s="27"/>
      <c r="E659" s="25"/>
      <c r="F659" s="26" t="str">
        <f>IF(E659='Tablas AR'!$B$4,1,IF('Análisis de Riesgos'!E659='Tablas AR'!$B$5,2,IF('Análisis de Riesgos'!E659='Tablas AR'!$B$6,3,"")))</f>
        <v/>
      </c>
      <c r="G659" s="25"/>
      <c r="H659" s="26" t="str">
        <f>IF(G659='Tablas AR'!$B$10,1,IF('Análisis de Riesgos'!G659='Tablas AR'!$B$11,2,IF('Análisis de Riesgos'!G659='Tablas AR'!$B$12,3,"")))</f>
        <v/>
      </c>
      <c r="I659" s="26" t="str">
        <f t="shared" si="10"/>
        <v/>
      </c>
    </row>
    <row r="660" spans="2:9" x14ac:dyDescent="0.25">
      <c r="B660" s="27" t="str">
        <f>IFERROR(INDEX(Activos!$B$3:$C$16, MATCH(C660,Activos!$B$3:$B$16),2),"")</f>
        <v/>
      </c>
      <c r="C660" s="27"/>
      <c r="D660" s="27"/>
      <c r="E660" s="25"/>
      <c r="F660" s="26" t="str">
        <f>IF(E660='Tablas AR'!$B$4,1,IF('Análisis de Riesgos'!E660='Tablas AR'!$B$5,2,IF('Análisis de Riesgos'!E660='Tablas AR'!$B$6,3,"")))</f>
        <v/>
      </c>
      <c r="G660" s="25"/>
      <c r="H660" s="26" t="str">
        <f>IF(G660='Tablas AR'!$B$10,1,IF('Análisis de Riesgos'!G660='Tablas AR'!$B$11,2,IF('Análisis de Riesgos'!G660='Tablas AR'!$B$12,3,"")))</f>
        <v/>
      </c>
      <c r="I660" s="26" t="str">
        <f t="shared" si="10"/>
        <v/>
      </c>
    </row>
    <row r="661" spans="2:9" x14ac:dyDescent="0.25">
      <c r="B661" s="27" t="str">
        <f>IFERROR(INDEX(Activos!$B$3:$C$16, MATCH(C661,Activos!$B$3:$B$16),2),"")</f>
        <v/>
      </c>
      <c r="C661" s="27"/>
      <c r="D661" s="27"/>
      <c r="E661" s="25"/>
      <c r="F661" s="26" t="str">
        <f>IF(E661='Tablas AR'!$B$4,1,IF('Análisis de Riesgos'!E661='Tablas AR'!$B$5,2,IF('Análisis de Riesgos'!E661='Tablas AR'!$B$6,3,"")))</f>
        <v/>
      </c>
      <c r="G661" s="25"/>
      <c r="H661" s="26" t="str">
        <f>IF(G661='Tablas AR'!$B$10,1,IF('Análisis de Riesgos'!G661='Tablas AR'!$B$11,2,IF('Análisis de Riesgos'!G661='Tablas AR'!$B$12,3,"")))</f>
        <v/>
      </c>
      <c r="I661" s="26" t="str">
        <f t="shared" si="10"/>
        <v/>
      </c>
    </row>
    <row r="662" spans="2:9" x14ac:dyDescent="0.25">
      <c r="B662" s="27" t="str">
        <f>IFERROR(INDEX(Activos!$B$3:$C$16, MATCH(C662,Activos!$B$3:$B$16),2),"")</f>
        <v/>
      </c>
      <c r="C662" s="27"/>
      <c r="D662" s="27"/>
      <c r="E662" s="25"/>
      <c r="F662" s="26" t="str">
        <f>IF(E662='Tablas AR'!$B$4,1,IF('Análisis de Riesgos'!E662='Tablas AR'!$B$5,2,IF('Análisis de Riesgos'!E662='Tablas AR'!$B$6,3,"")))</f>
        <v/>
      </c>
      <c r="G662" s="25"/>
      <c r="H662" s="26" t="str">
        <f>IF(G662='Tablas AR'!$B$10,1,IF('Análisis de Riesgos'!G662='Tablas AR'!$B$11,2,IF('Análisis de Riesgos'!G662='Tablas AR'!$B$12,3,"")))</f>
        <v/>
      </c>
      <c r="I662" s="26" t="str">
        <f t="shared" si="10"/>
        <v/>
      </c>
    </row>
    <row r="663" spans="2:9" x14ac:dyDescent="0.25">
      <c r="B663" s="27" t="str">
        <f>IFERROR(INDEX(Activos!$B$3:$C$16, MATCH(C663,Activos!$B$3:$B$16),2),"")</f>
        <v/>
      </c>
      <c r="C663" s="27"/>
      <c r="D663" s="27"/>
      <c r="E663" s="25"/>
      <c r="F663" s="26" t="str">
        <f>IF(E663='Tablas AR'!$B$4,1,IF('Análisis de Riesgos'!E663='Tablas AR'!$B$5,2,IF('Análisis de Riesgos'!E663='Tablas AR'!$B$6,3,"")))</f>
        <v/>
      </c>
      <c r="G663" s="25"/>
      <c r="H663" s="26" t="str">
        <f>IF(G663='Tablas AR'!$B$10,1,IF('Análisis de Riesgos'!G663='Tablas AR'!$B$11,2,IF('Análisis de Riesgos'!G663='Tablas AR'!$B$12,3,"")))</f>
        <v/>
      </c>
      <c r="I663" s="26" t="str">
        <f t="shared" si="10"/>
        <v/>
      </c>
    </row>
    <row r="664" spans="2:9" x14ac:dyDescent="0.25">
      <c r="B664" s="27" t="str">
        <f>IFERROR(INDEX(Activos!$B$3:$C$16, MATCH(C664,Activos!$B$3:$B$16),2),"")</f>
        <v/>
      </c>
      <c r="C664" s="27"/>
      <c r="D664" s="27"/>
      <c r="E664" s="25"/>
      <c r="F664" s="26" t="str">
        <f>IF(E664='Tablas AR'!$B$4,1,IF('Análisis de Riesgos'!E664='Tablas AR'!$B$5,2,IF('Análisis de Riesgos'!E664='Tablas AR'!$B$6,3,"")))</f>
        <v/>
      </c>
      <c r="G664" s="25"/>
      <c r="H664" s="26" t="str">
        <f>IF(G664='Tablas AR'!$B$10,1,IF('Análisis de Riesgos'!G664='Tablas AR'!$B$11,2,IF('Análisis de Riesgos'!G664='Tablas AR'!$B$12,3,"")))</f>
        <v/>
      </c>
      <c r="I664" s="26" t="str">
        <f t="shared" si="10"/>
        <v/>
      </c>
    </row>
    <row r="665" spans="2:9" x14ac:dyDescent="0.25">
      <c r="B665" s="27" t="str">
        <f>IFERROR(INDEX(Activos!$B$3:$C$16, MATCH(C665,Activos!$B$3:$B$16),2),"")</f>
        <v/>
      </c>
      <c r="C665" s="27"/>
      <c r="D665" s="27"/>
      <c r="E665" s="25"/>
      <c r="F665" s="26" t="str">
        <f>IF(E665='Tablas AR'!$B$4,1,IF('Análisis de Riesgos'!E665='Tablas AR'!$B$5,2,IF('Análisis de Riesgos'!E665='Tablas AR'!$B$6,3,"")))</f>
        <v/>
      </c>
      <c r="G665" s="25"/>
      <c r="H665" s="26" t="str">
        <f>IF(G665='Tablas AR'!$B$10,1,IF('Análisis de Riesgos'!G665='Tablas AR'!$B$11,2,IF('Análisis de Riesgos'!G665='Tablas AR'!$B$12,3,"")))</f>
        <v/>
      </c>
      <c r="I665" s="26" t="str">
        <f t="shared" si="10"/>
        <v/>
      </c>
    </row>
    <row r="666" spans="2:9" x14ac:dyDescent="0.25">
      <c r="B666" s="27" t="str">
        <f>IFERROR(INDEX(Activos!$B$3:$C$16, MATCH(C666,Activos!$B$3:$B$16),2),"")</f>
        <v/>
      </c>
      <c r="C666" s="27"/>
      <c r="D666" s="27"/>
      <c r="E666" s="25"/>
      <c r="F666" s="26" t="str">
        <f>IF(E666='Tablas AR'!$B$4,1,IF('Análisis de Riesgos'!E666='Tablas AR'!$B$5,2,IF('Análisis de Riesgos'!E666='Tablas AR'!$B$6,3,"")))</f>
        <v/>
      </c>
      <c r="G666" s="25"/>
      <c r="H666" s="26" t="str">
        <f>IF(G666='Tablas AR'!$B$10,1,IF('Análisis de Riesgos'!G666='Tablas AR'!$B$11,2,IF('Análisis de Riesgos'!G666='Tablas AR'!$B$12,3,"")))</f>
        <v/>
      </c>
      <c r="I666" s="26" t="str">
        <f t="shared" si="10"/>
        <v/>
      </c>
    </row>
    <row r="667" spans="2:9" x14ac:dyDescent="0.25">
      <c r="B667" s="27" t="str">
        <f>IFERROR(INDEX(Activos!$B$3:$C$16, MATCH(C667,Activos!$B$3:$B$16),2),"")</f>
        <v/>
      </c>
      <c r="C667" s="27"/>
      <c r="D667" s="27"/>
      <c r="E667" s="25"/>
      <c r="F667" s="26" t="str">
        <f>IF(E667='Tablas AR'!$B$4,1,IF('Análisis de Riesgos'!E667='Tablas AR'!$B$5,2,IF('Análisis de Riesgos'!E667='Tablas AR'!$B$6,3,"")))</f>
        <v/>
      </c>
      <c r="G667" s="25"/>
      <c r="H667" s="26" t="str">
        <f>IF(G667='Tablas AR'!$B$10,1,IF('Análisis de Riesgos'!G667='Tablas AR'!$B$11,2,IF('Análisis de Riesgos'!G667='Tablas AR'!$B$12,3,"")))</f>
        <v/>
      </c>
      <c r="I667" s="26" t="str">
        <f t="shared" si="10"/>
        <v/>
      </c>
    </row>
    <row r="668" spans="2:9" x14ac:dyDescent="0.25">
      <c r="B668" s="27" t="str">
        <f>IFERROR(INDEX(Activos!$B$3:$C$16, MATCH(C668,Activos!$B$3:$B$16),2),"")</f>
        <v/>
      </c>
      <c r="C668" s="27"/>
      <c r="D668" s="27"/>
      <c r="E668" s="25"/>
      <c r="F668" s="26" t="str">
        <f>IF(E668='Tablas AR'!$B$4,1,IF('Análisis de Riesgos'!E668='Tablas AR'!$B$5,2,IF('Análisis de Riesgos'!E668='Tablas AR'!$B$6,3,"")))</f>
        <v/>
      </c>
      <c r="G668" s="25"/>
      <c r="H668" s="26" t="str">
        <f>IF(G668='Tablas AR'!$B$10,1,IF('Análisis de Riesgos'!G668='Tablas AR'!$B$11,2,IF('Análisis de Riesgos'!G668='Tablas AR'!$B$12,3,"")))</f>
        <v/>
      </c>
      <c r="I668" s="26" t="str">
        <f t="shared" si="10"/>
        <v/>
      </c>
    </row>
    <row r="669" spans="2:9" x14ac:dyDescent="0.25">
      <c r="B669" s="27" t="str">
        <f>IFERROR(INDEX(Activos!$B$3:$C$16, MATCH(C669,Activos!$B$3:$B$16),2),"")</f>
        <v/>
      </c>
      <c r="C669" s="27"/>
      <c r="D669" s="27"/>
      <c r="E669" s="25"/>
      <c r="F669" s="26" t="str">
        <f>IF(E669='Tablas AR'!$B$4,1,IF('Análisis de Riesgos'!E669='Tablas AR'!$B$5,2,IF('Análisis de Riesgos'!E669='Tablas AR'!$B$6,3,"")))</f>
        <v/>
      </c>
      <c r="G669" s="25"/>
      <c r="H669" s="26" t="str">
        <f>IF(G669='Tablas AR'!$B$10,1,IF('Análisis de Riesgos'!G669='Tablas AR'!$B$11,2,IF('Análisis de Riesgos'!G669='Tablas AR'!$B$12,3,"")))</f>
        <v/>
      </c>
      <c r="I669" s="26" t="str">
        <f t="shared" si="10"/>
        <v/>
      </c>
    </row>
    <row r="670" spans="2:9" x14ac:dyDescent="0.25">
      <c r="B670" s="27" t="str">
        <f>IFERROR(INDEX(Activos!$B$3:$C$16, MATCH(C670,Activos!$B$3:$B$16),2),"")</f>
        <v/>
      </c>
      <c r="C670" s="27"/>
      <c r="D670" s="27"/>
      <c r="E670" s="25"/>
      <c r="F670" s="26" t="str">
        <f>IF(E670='Tablas AR'!$B$4,1,IF('Análisis de Riesgos'!E670='Tablas AR'!$B$5,2,IF('Análisis de Riesgos'!E670='Tablas AR'!$B$6,3,"")))</f>
        <v/>
      </c>
      <c r="G670" s="25"/>
      <c r="H670" s="26" t="str">
        <f>IF(G670='Tablas AR'!$B$10,1,IF('Análisis de Riesgos'!G670='Tablas AR'!$B$11,2,IF('Análisis de Riesgos'!G670='Tablas AR'!$B$12,3,"")))</f>
        <v/>
      </c>
      <c r="I670" s="26" t="str">
        <f t="shared" si="10"/>
        <v/>
      </c>
    </row>
    <row r="671" spans="2:9" x14ac:dyDescent="0.25">
      <c r="B671" s="27" t="str">
        <f>IFERROR(INDEX(Activos!$B$3:$C$16, MATCH(C671,Activos!$B$3:$B$16),2),"")</f>
        <v/>
      </c>
      <c r="C671" s="27"/>
      <c r="D671" s="27"/>
      <c r="E671" s="25"/>
      <c r="F671" s="26" t="str">
        <f>IF(E671='Tablas AR'!$B$4,1,IF('Análisis de Riesgos'!E671='Tablas AR'!$B$5,2,IF('Análisis de Riesgos'!E671='Tablas AR'!$B$6,3,"")))</f>
        <v/>
      </c>
      <c r="G671" s="25"/>
      <c r="H671" s="26" t="str">
        <f>IF(G671='Tablas AR'!$B$10,1,IF('Análisis de Riesgos'!G671='Tablas AR'!$B$11,2,IF('Análisis de Riesgos'!G671='Tablas AR'!$B$12,3,"")))</f>
        <v/>
      </c>
      <c r="I671" s="26" t="str">
        <f t="shared" si="10"/>
        <v/>
      </c>
    </row>
    <row r="672" spans="2:9" x14ac:dyDescent="0.25">
      <c r="B672" s="27" t="str">
        <f>IFERROR(INDEX(Activos!$B$3:$C$16, MATCH(C672,Activos!$B$3:$B$16),2),"")</f>
        <v/>
      </c>
      <c r="C672" s="27"/>
      <c r="D672" s="27"/>
      <c r="E672" s="25"/>
      <c r="F672" s="26" t="str">
        <f>IF(E672='Tablas AR'!$B$4,1,IF('Análisis de Riesgos'!E672='Tablas AR'!$B$5,2,IF('Análisis de Riesgos'!E672='Tablas AR'!$B$6,3,"")))</f>
        <v/>
      </c>
      <c r="G672" s="25"/>
      <c r="H672" s="26" t="str">
        <f>IF(G672='Tablas AR'!$B$10,1,IF('Análisis de Riesgos'!G672='Tablas AR'!$B$11,2,IF('Análisis de Riesgos'!G672='Tablas AR'!$B$12,3,"")))</f>
        <v/>
      </c>
      <c r="I672" s="26" t="str">
        <f t="shared" si="10"/>
        <v/>
      </c>
    </row>
    <row r="673" spans="2:9" x14ac:dyDescent="0.25">
      <c r="B673" s="27" t="str">
        <f>IFERROR(INDEX(Activos!$B$3:$C$16, MATCH(C673,Activos!$B$3:$B$16),2),"")</f>
        <v/>
      </c>
      <c r="C673" s="27"/>
      <c r="D673" s="27"/>
      <c r="E673" s="25"/>
      <c r="F673" s="26" t="str">
        <f>IF(E673='Tablas AR'!$B$4,1,IF('Análisis de Riesgos'!E673='Tablas AR'!$B$5,2,IF('Análisis de Riesgos'!E673='Tablas AR'!$B$6,3,"")))</f>
        <v/>
      </c>
      <c r="G673" s="25"/>
      <c r="H673" s="26" t="str">
        <f>IF(G673='Tablas AR'!$B$10,1,IF('Análisis de Riesgos'!G673='Tablas AR'!$B$11,2,IF('Análisis de Riesgos'!G673='Tablas AR'!$B$12,3,"")))</f>
        <v/>
      </c>
      <c r="I673" s="26" t="str">
        <f t="shared" si="10"/>
        <v/>
      </c>
    </row>
    <row r="674" spans="2:9" x14ac:dyDescent="0.25">
      <c r="B674" s="27" t="str">
        <f>IFERROR(INDEX(Activos!$B$3:$C$16, MATCH(C674,Activos!$B$3:$B$16),2),"")</f>
        <v/>
      </c>
      <c r="C674" s="27"/>
      <c r="D674" s="27"/>
      <c r="E674" s="25"/>
      <c r="F674" s="26" t="str">
        <f>IF(E674='Tablas AR'!$B$4,1,IF('Análisis de Riesgos'!E674='Tablas AR'!$B$5,2,IF('Análisis de Riesgos'!E674='Tablas AR'!$B$6,3,"")))</f>
        <v/>
      </c>
      <c r="G674" s="25"/>
      <c r="H674" s="26" t="str">
        <f>IF(G674='Tablas AR'!$B$10,1,IF('Análisis de Riesgos'!G674='Tablas AR'!$B$11,2,IF('Análisis de Riesgos'!G674='Tablas AR'!$B$12,3,"")))</f>
        <v/>
      </c>
      <c r="I674" s="26" t="str">
        <f t="shared" si="10"/>
        <v/>
      </c>
    </row>
    <row r="675" spans="2:9" x14ac:dyDescent="0.25">
      <c r="B675" s="27" t="str">
        <f>IFERROR(INDEX(Activos!$B$3:$C$16, MATCH(C675,Activos!$B$3:$B$16),2),"")</f>
        <v/>
      </c>
      <c r="C675" s="27"/>
      <c r="D675" s="27"/>
      <c r="E675" s="25"/>
      <c r="F675" s="26" t="str">
        <f>IF(E675='Tablas AR'!$B$4,1,IF('Análisis de Riesgos'!E675='Tablas AR'!$B$5,2,IF('Análisis de Riesgos'!E675='Tablas AR'!$B$6,3,"")))</f>
        <v/>
      </c>
      <c r="G675" s="25"/>
      <c r="H675" s="26" t="str">
        <f>IF(G675='Tablas AR'!$B$10,1,IF('Análisis de Riesgos'!G675='Tablas AR'!$B$11,2,IF('Análisis de Riesgos'!G675='Tablas AR'!$B$12,3,"")))</f>
        <v/>
      </c>
      <c r="I675" s="26" t="str">
        <f t="shared" si="10"/>
        <v/>
      </c>
    </row>
    <row r="676" spans="2:9" x14ac:dyDescent="0.25">
      <c r="B676" s="27" t="str">
        <f>IFERROR(INDEX(Activos!$B$3:$C$16, MATCH(C676,Activos!$B$3:$B$16),2),"")</f>
        <v/>
      </c>
      <c r="C676" s="27"/>
      <c r="D676" s="27"/>
      <c r="E676" s="25"/>
      <c r="F676" s="26" t="str">
        <f>IF(E676='Tablas AR'!$B$4,1,IF('Análisis de Riesgos'!E676='Tablas AR'!$B$5,2,IF('Análisis de Riesgos'!E676='Tablas AR'!$B$6,3,"")))</f>
        <v/>
      </c>
      <c r="G676" s="25"/>
      <c r="H676" s="26" t="str">
        <f>IF(G676='Tablas AR'!$B$10,1,IF('Análisis de Riesgos'!G676='Tablas AR'!$B$11,2,IF('Análisis de Riesgos'!G676='Tablas AR'!$B$12,3,"")))</f>
        <v/>
      </c>
      <c r="I676" s="26" t="str">
        <f t="shared" si="10"/>
        <v/>
      </c>
    </row>
    <row r="677" spans="2:9" x14ac:dyDescent="0.25">
      <c r="B677" s="27" t="str">
        <f>IFERROR(INDEX(Activos!$B$3:$C$16, MATCH(C677,Activos!$B$3:$B$16),2),"")</f>
        <v/>
      </c>
      <c r="C677" s="27"/>
      <c r="D677" s="27"/>
      <c r="E677" s="25"/>
      <c r="F677" s="26" t="str">
        <f>IF(E677='Tablas AR'!$B$4,1,IF('Análisis de Riesgos'!E677='Tablas AR'!$B$5,2,IF('Análisis de Riesgos'!E677='Tablas AR'!$B$6,3,"")))</f>
        <v/>
      </c>
      <c r="G677" s="25"/>
      <c r="H677" s="26" t="str">
        <f>IF(G677='Tablas AR'!$B$10,1,IF('Análisis de Riesgos'!G677='Tablas AR'!$B$11,2,IF('Análisis de Riesgos'!G677='Tablas AR'!$B$12,3,"")))</f>
        <v/>
      </c>
      <c r="I677" s="26" t="str">
        <f t="shared" si="10"/>
        <v/>
      </c>
    </row>
    <row r="678" spans="2:9" x14ac:dyDescent="0.25">
      <c r="B678" s="27" t="str">
        <f>IFERROR(INDEX(Activos!$B$3:$C$16, MATCH(C678,Activos!$B$3:$B$16),2),"")</f>
        <v/>
      </c>
      <c r="C678" s="27"/>
      <c r="D678" s="27"/>
      <c r="E678" s="25"/>
      <c r="F678" s="26" t="str">
        <f>IF(E678='Tablas AR'!$B$4,1,IF('Análisis de Riesgos'!E678='Tablas AR'!$B$5,2,IF('Análisis de Riesgos'!E678='Tablas AR'!$B$6,3,"")))</f>
        <v/>
      </c>
      <c r="G678" s="25"/>
      <c r="H678" s="26" t="str">
        <f>IF(G678='Tablas AR'!$B$10,1,IF('Análisis de Riesgos'!G678='Tablas AR'!$B$11,2,IF('Análisis de Riesgos'!G678='Tablas AR'!$B$12,3,"")))</f>
        <v/>
      </c>
      <c r="I678" s="26" t="str">
        <f t="shared" si="10"/>
        <v/>
      </c>
    </row>
    <row r="679" spans="2:9" x14ac:dyDescent="0.25">
      <c r="B679" s="27" t="str">
        <f>IFERROR(INDEX(Activos!$B$3:$C$16, MATCH(C679,Activos!$B$3:$B$16),2),"")</f>
        <v/>
      </c>
      <c r="C679" s="27"/>
      <c r="D679" s="27"/>
      <c r="E679" s="25"/>
      <c r="F679" s="26" t="str">
        <f>IF(E679='Tablas AR'!$B$4,1,IF('Análisis de Riesgos'!E679='Tablas AR'!$B$5,2,IF('Análisis de Riesgos'!E679='Tablas AR'!$B$6,3,"")))</f>
        <v/>
      </c>
      <c r="G679" s="25"/>
      <c r="H679" s="26" t="str">
        <f>IF(G679='Tablas AR'!$B$10,1,IF('Análisis de Riesgos'!G679='Tablas AR'!$B$11,2,IF('Análisis de Riesgos'!G679='Tablas AR'!$B$12,3,"")))</f>
        <v/>
      </c>
      <c r="I679" s="26" t="str">
        <f t="shared" si="10"/>
        <v/>
      </c>
    </row>
    <row r="680" spans="2:9" x14ac:dyDescent="0.25">
      <c r="B680" s="27" t="str">
        <f>IFERROR(INDEX(Activos!$B$3:$C$16, MATCH(C680,Activos!$B$3:$B$16),2),"")</f>
        <v/>
      </c>
      <c r="C680" s="27"/>
      <c r="D680" s="27"/>
      <c r="E680" s="25"/>
      <c r="F680" s="26" t="str">
        <f>IF(E680='Tablas AR'!$B$4,1,IF('Análisis de Riesgos'!E680='Tablas AR'!$B$5,2,IF('Análisis de Riesgos'!E680='Tablas AR'!$B$6,3,"")))</f>
        <v/>
      </c>
      <c r="G680" s="25"/>
      <c r="H680" s="26" t="str">
        <f>IF(G680='Tablas AR'!$B$10,1,IF('Análisis de Riesgos'!G680='Tablas AR'!$B$11,2,IF('Análisis de Riesgos'!G680='Tablas AR'!$B$12,3,"")))</f>
        <v/>
      </c>
      <c r="I680" s="26" t="str">
        <f t="shared" si="10"/>
        <v/>
      </c>
    </row>
    <row r="681" spans="2:9" x14ac:dyDescent="0.25">
      <c r="B681" s="27" t="str">
        <f>IFERROR(INDEX(Activos!$B$3:$C$16, MATCH(C681,Activos!$B$3:$B$16),2),"")</f>
        <v/>
      </c>
      <c r="C681" s="27"/>
      <c r="D681" s="27"/>
      <c r="E681" s="25"/>
      <c r="F681" s="26" t="str">
        <f>IF(E681='Tablas AR'!$B$4,1,IF('Análisis de Riesgos'!E681='Tablas AR'!$B$5,2,IF('Análisis de Riesgos'!E681='Tablas AR'!$B$6,3,"")))</f>
        <v/>
      </c>
      <c r="G681" s="25"/>
      <c r="H681" s="26" t="str">
        <f>IF(G681='Tablas AR'!$B$10,1,IF('Análisis de Riesgos'!G681='Tablas AR'!$B$11,2,IF('Análisis de Riesgos'!G681='Tablas AR'!$B$12,3,"")))</f>
        <v/>
      </c>
      <c r="I681" s="26" t="str">
        <f t="shared" si="10"/>
        <v/>
      </c>
    </row>
    <row r="682" spans="2:9" x14ac:dyDescent="0.25">
      <c r="B682" s="27" t="str">
        <f>IFERROR(INDEX(Activos!$B$3:$C$16, MATCH(C682,Activos!$B$3:$B$16),2),"")</f>
        <v/>
      </c>
      <c r="C682" s="27"/>
      <c r="D682" s="27"/>
      <c r="E682" s="25"/>
      <c r="F682" s="26" t="str">
        <f>IF(E682='Tablas AR'!$B$4,1,IF('Análisis de Riesgos'!E682='Tablas AR'!$B$5,2,IF('Análisis de Riesgos'!E682='Tablas AR'!$B$6,3,"")))</f>
        <v/>
      </c>
      <c r="G682" s="25"/>
      <c r="H682" s="26" t="str">
        <f>IF(G682='Tablas AR'!$B$10,1,IF('Análisis de Riesgos'!G682='Tablas AR'!$B$11,2,IF('Análisis de Riesgos'!G682='Tablas AR'!$B$12,3,"")))</f>
        <v/>
      </c>
      <c r="I682" s="26" t="str">
        <f t="shared" si="10"/>
        <v/>
      </c>
    </row>
    <row r="683" spans="2:9" x14ac:dyDescent="0.25">
      <c r="B683" s="27" t="str">
        <f>IFERROR(INDEX(Activos!$B$3:$C$16, MATCH(C683,Activos!$B$3:$B$16),2),"")</f>
        <v/>
      </c>
      <c r="C683" s="27"/>
      <c r="D683" s="27"/>
      <c r="E683" s="25"/>
      <c r="F683" s="26" t="str">
        <f>IF(E683='Tablas AR'!$B$4,1,IF('Análisis de Riesgos'!E683='Tablas AR'!$B$5,2,IF('Análisis de Riesgos'!E683='Tablas AR'!$B$6,3,"")))</f>
        <v/>
      </c>
      <c r="G683" s="25"/>
      <c r="H683" s="26" t="str">
        <f>IF(G683='Tablas AR'!$B$10,1,IF('Análisis de Riesgos'!G683='Tablas AR'!$B$11,2,IF('Análisis de Riesgos'!G683='Tablas AR'!$B$12,3,"")))</f>
        <v/>
      </c>
      <c r="I683" s="26" t="str">
        <f t="shared" si="10"/>
        <v/>
      </c>
    </row>
    <row r="684" spans="2:9" x14ac:dyDescent="0.25">
      <c r="B684" s="27" t="str">
        <f>IFERROR(INDEX(Activos!$B$3:$C$16, MATCH(C684,Activos!$B$3:$B$16),2),"")</f>
        <v/>
      </c>
      <c r="C684" s="27"/>
      <c r="D684" s="27"/>
      <c r="E684" s="25"/>
      <c r="F684" s="26" t="str">
        <f>IF(E684='Tablas AR'!$B$4,1,IF('Análisis de Riesgos'!E684='Tablas AR'!$B$5,2,IF('Análisis de Riesgos'!E684='Tablas AR'!$B$6,3,"")))</f>
        <v/>
      </c>
      <c r="G684" s="25"/>
      <c r="H684" s="26" t="str">
        <f>IF(G684='Tablas AR'!$B$10,1,IF('Análisis de Riesgos'!G684='Tablas AR'!$B$11,2,IF('Análisis de Riesgos'!G684='Tablas AR'!$B$12,3,"")))</f>
        <v/>
      </c>
      <c r="I684" s="26" t="str">
        <f t="shared" si="10"/>
        <v/>
      </c>
    </row>
    <row r="685" spans="2:9" x14ac:dyDescent="0.25">
      <c r="B685" s="27" t="str">
        <f>IFERROR(INDEX(Activos!$B$3:$C$16, MATCH(C685,Activos!$B$3:$B$16),2),"")</f>
        <v/>
      </c>
      <c r="C685" s="27"/>
      <c r="D685" s="27"/>
      <c r="E685" s="25"/>
      <c r="F685" s="26" t="str">
        <f>IF(E685='Tablas AR'!$B$4,1,IF('Análisis de Riesgos'!E685='Tablas AR'!$B$5,2,IF('Análisis de Riesgos'!E685='Tablas AR'!$B$6,3,"")))</f>
        <v/>
      </c>
      <c r="G685" s="25"/>
      <c r="H685" s="26" t="str">
        <f>IF(G685='Tablas AR'!$B$10,1,IF('Análisis de Riesgos'!G685='Tablas AR'!$B$11,2,IF('Análisis de Riesgos'!G685='Tablas AR'!$B$12,3,"")))</f>
        <v/>
      </c>
      <c r="I685" s="26" t="str">
        <f t="shared" si="10"/>
        <v/>
      </c>
    </row>
    <row r="686" spans="2:9" x14ac:dyDescent="0.25">
      <c r="B686" s="27" t="str">
        <f>IFERROR(INDEX(Activos!$B$3:$C$16, MATCH(C686,Activos!$B$3:$B$16),2),"")</f>
        <v/>
      </c>
      <c r="C686" s="27"/>
      <c r="D686" s="27"/>
      <c r="E686" s="25"/>
      <c r="F686" s="26" t="str">
        <f>IF(E686='Tablas AR'!$B$4,1,IF('Análisis de Riesgos'!E686='Tablas AR'!$B$5,2,IF('Análisis de Riesgos'!E686='Tablas AR'!$B$6,3,"")))</f>
        <v/>
      </c>
      <c r="G686" s="25"/>
      <c r="H686" s="26" t="str">
        <f>IF(G686='Tablas AR'!$B$10,1,IF('Análisis de Riesgos'!G686='Tablas AR'!$B$11,2,IF('Análisis de Riesgos'!G686='Tablas AR'!$B$12,3,"")))</f>
        <v/>
      </c>
      <c r="I686" s="26" t="str">
        <f t="shared" si="10"/>
        <v/>
      </c>
    </row>
    <row r="687" spans="2:9" x14ac:dyDescent="0.25">
      <c r="B687" s="27" t="str">
        <f>IFERROR(INDEX(Activos!$B$3:$C$16, MATCH(C687,Activos!$B$3:$B$16),2),"")</f>
        <v/>
      </c>
      <c r="C687" s="27"/>
      <c r="D687" s="27"/>
      <c r="E687" s="25"/>
      <c r="F687" s="26" t="str">
        <f>IF(E687='Tablas AR'!$B$4,1,IF('Análisis de Riesgos'!E687='Tablas AR'!$B$5,2,IF('Análisis de Riesgos'!E687='Tablas AR'!$B$6,3,"")))</f>
        <v/>
      </c>
      <c r="G687" s="25"/>
      <c r="H687" s="26" t="str">
        <f>IF(G687='Tablas AR'!$B$10,1,IF('Análisis de Riesgos'!G687='Tablas AR'!$B$11,2,IF('Análisis de Riesgos'!G687='Tablas AR'!$B$12,3,"")))</f>
        <v/>
      </c>
      <c r="I687" s="26" t="str">
        <f t="shared" si="10"/>
        <v/>
      </c>
    </row>
    <row r="688" spans="2:9" x14ac:dyDescent="0.25">
      <c r="B688" s="27" t="str">
        <f>IFERROR(INDEX(Activos!$B$3:$C$16, MATCH(C688,Activos!$B$3:$B$16),2),"")</f>
        <v/>
      </c>
      <c r="C688" s="27"/>
      <c r="D688" s="27"/>
      <c r="E688" s="25"/>
      <c r="F688" s="26" t="str">
        <f>IF(E688='Tablas AR'!$B$4,1,IF('Análisis de Riesgos'!E688='Tablas AR'!$B$5,2,IF('Análisis de Riesgos'!E688='Tablas AR'!$B$6,3,"")))</f>
        <v/>
      </c>
      <c r="G688" s="25"/>
      <c r="H688" s="26" t="str">
        <f>IF(G688='Tablas AR'!$B$10,1,IF('Análisis de Riesgos'!G688='Tablas AR'!$B$11,2,IF('Análisis de Riesgos'!G688='Tablas AR'!$B$12,3,"")))</f>
        <v/>
      </c>
      <c r="I688" s="26" t="str">
        <f t="shared" si="10"/>
        <v/>
      </c>
    </row>
    <row r="689" spans="2:9" x14ac:dyDescent="0.25">
      <c r="B689" s="27" t="str">
        <f>IFERROR(INDEX(Activos!$B$3:$C$16, MATCH(C689,Activos!$B$3:$B$16),2),"")</f>
        <v/>
      </c>
      <c r="C689" s="27"/>
      <c r="D689" s="27"/>
      <c r="E689" s="25"/>
      <c r="F689" s="26" t="str">
        <f>IF(E689='Tablas AR'!$B$4,1,IF('Análisis de Riesgos'!E689='Tablas AR'!$B$5,2,IF('Análisis de Riesgos'!E689='Tablas AR'!$B$6,3,"")))</f>
        <v/>
      </c>
      <c r="G689" s="25"/>
      <c r="H689" s="26" t="str">
        <f>IF(G689='Tablas AR'!$B$10,1,IF('Análisis de Riesgos'!G689='Tablas AR'!$B$11,2,IF('Análisis de Riesgos'!G689='Tablas AR'!$B$12,3,"")))</f>
        <v/>
      </c>
      <c r="I689" s="26" t="str">
        <f t="shared" si="10"/>
        <v/>
      </c>
    </row>
    <row r="690" spans="2:9" x14ac:dyDescent="0.25">
      <c r="B690" s="27" t="str">
        <f>IFERROR(INDEX(Activos!$B$3:$C$16, MATCH(C690,Activos!$B$3:$B$16),2),"")</f>
        <v/>
      </c>
      <c r="C690" s="27"/>
      <c r="D690" s="27"/>
      <c r="E690" s="25"/>
      <c r="F690" s="26" t="str">
        <f>IF(E690='Tablas AR'!$B$4,1,IF('Análisis de Riesgos'!E690='Tablas AR'!$B$5,2,IF('Análisis de Riesgos'!E690='Tablas AR'!$B$6,3,"")))</f>
        <v/>
      </c>
      <c r="G690" s="25"/>
      <c r="H690" s="26" t="str">
        <f>IF(G690='Tablas AR'!$B$10,1,IF('Análisis de Riesgos'!G690='Tablas AR'!$B$11,2,IF('Análisis de Riesgos'!G690='Tablas AR'!$B$12,3,"")))</f>
        <v/>
      </c>
      <c r="I690" s="26" t="str">
        <f t="shared" si="10"/>
        <v/>
      </c>
    </row>
    <row r="691" spans="2:9" x14ac:dyDescent="0.25">
      <c r="B691" s="27" t="str">
        <f>IFERROR(INDEX(Activos!$B$3:$C$16, MATCH(C691,Activos!$B$3:$B$16),2),"")</f>
        <v/>
      </c>
      <c r="C691" s="27"/>
      <c r="D691" s="27"/>
      <c r="E691" s="25"/>
      <c r="F691" s="26" t="str">
        <f>IF(E691='Tablas AR'!$B$4,1,IF('Análisis de Riesgos'!E691='Tablas AR'!$B$5,2,IF('Análisis de Riesgos'!E691='Tablas AR'!$B$6,3,"")))</f>
        <v/>
      </c>
      <c r="G691" s="25"/>
      <c r="H691" s="26" t="str">
        <f>IF(G691='Tablas AR'!$B$10,1,IF('Análisis de Riesgos'!G691='Tablas AR'!$B$11,2,IF('Análisis de Riesgos'!G691='Tablas AR'!$B$12,3,"")))</f>
        <v/>
      </c>
      <c r="I691" s="26" t="str">
        <f t="shared" si="10"/>
        <v/>
      </c>
    </row>
    <row r="692" spans="2:9" x14ac:dyDescent="0.25">
      <c r="B692" s="27" t="str">
        <f>IFERROR(INDEX(Activos!$B$3:$C$16, MATCH(C692,Activos!$B$3:$B$16),2),"")</f>
        <v/>
      </c>
      <c r="C692" s="27"/>
      <c r="D692" s="27"/>
      <c r="E692" s="25"/>
      <c r="F692" s="26" t="str">
        <f>IF(E692='Tablas AR'!$B$4,1,IF('Análisis de Riesgos'!E692='Tablas AR'!$B$5,2,IF('Análisis de Riesgos'!E692='Tablas AR'!$B$6,3,"")))</f>
        <v/>
      </c>
      <c r="G692" s="25"/>
      <c r="H692" s="26" t="str">
        <f>IF(G692='Tablas AR'!$B$10,1,IF('Análisis de Riesgos'!G692='Tablas AR'!$B$11,2,IF('Análisis de Riesgos'!G692='Tablas AR'!$B$12,3,"")))</f>
        <v/>
      </c>
      <c r="I692" s="26" t="str">
        <f t="shared" si="10"/>
        <v/>
      </c>
    </row>
    <row r="693" spans="2:9" x14ac:dyDescent="0.25">
      <c r="B693" s="27" t="str">
        <f>IFERROR(INDEX(Activos!$B$3:$C$16, MATCH(C693,Activos!$B$3:$B$16),2),"")</f>
        <v/>
      </c>
      <c r="C693" s="27"/>
      <c r="D693" s="27"/>
      <c r="E693" s="25"/>
      <c r="F693" s="26" t="str">
        <f>IF(E693='Tablas AR'!$B$4,1,IF('Análisis de Riesgos'!E693='Tablas AR'!$B$5,2,IF('Análisis de Riesgos'!E693='Tablas AR'!$B$6,3,"")))</f>
        <v/>
      </c>
      <c r="G693" s="25"/>
      <c r="H693" s="26" t="str">
        <f>IF(G693='Tablas AR'!$B$10,1,IF('Análisis de Riesgos'!G693='Tablas AR'!$B$11,2,IF('Análisis de Riesgos'!G693='Tablas AR'!$B$12,3,"")))</f>
        <v/>
      </c>
      <c r="I693" s="26" t="str">
        <f t="shared" si="10"/>
        <v/>
      </c>
    </row>
    <row r="694" spans="2:9" x14ac:dyDescent="0.25">
      <c r="B694" s="27" t="str">
        <f>IFERROR(INDEX(Activos!$B$3:$C$16, MATCH(C694,Activos!$B$3:$B$16),2),"")</f>
        <v/>
      </c>
      <c r="C694" s="27"/>
      <c r="D694" s="27"/>
      <c r="E694" s="25"/>
      <c r="F694" s="26" t="str">
        <f>IF(E694='Tablas AR'!$B$4,1,IF('Análisis de Riesgos'!E694='Tablas AR'!$B$5,2,IF('Análisis de Riesgos'!E694='Tablas AR'!$B$6,3,"")))</f>
        <v/>
      </c>
      <c r="G694" s="25"/>
      <c r="H694" s="26" t="str">
        <f>IF(G694='Tablas AR'!$B$10,1,IF('Análisis de Riesgos'!G694='Tablas AR'!$B$11,2,IF('Análisis de Riesgos'!G694='Tablas AR'!$B$12,3,"")))</f>
        <v/>
      </c>
      <c r="I694" s="26" t="str">
        <f t="shared" si="10"/>
        <v/>
      </c>
    </row>
    <row r="695" spans="2:9" x14ac:dyDescent="0.25">
      <c r="B695" s="27" t="str">
        <f>IFERROR(INDEX(Activos!$B$3:$C$16, MATCH(C695,Activos!$B$3:$B$16),2),"")</f>
        <v/>
      </c>
      <c r="C695" s="27"/>
      <c r="D695" s="27"/>
      <c r="E695" s="25"/>
      <c r="F695" s="26" t="str">
        <f>IF(E695='Tablas AR'!$B$4,1,IF('Análisis de Riesgos'!E695='Tablas AR'!$B$5,2,IF('Análisis de Riesgos'!E695='Tablas AR'!$B$6,3,"")))</f>
        <v/>
      </c>
      <c r="G695" s="25"/>
      <c r="H695" s="26" t="str">
        <f>IF(G695='Tablas AR'!$B$10,1,IF('Análisis de Riesgos'!G695='Tablas AR'!$B$11,2,IF('Análisis de Riesgos'!G695='Tablas AR'!$B$12,3,"")))</f>
        <v/>
      </c>
      <c r="I695" s="26" t="str">
        <f t="shared" si="10"/>
        <v/>
      </c>
    </row>
    <row r="696" spans="2:9" x14ac:dyDescent="0.25">
      <c r="B696" s="27" t="str">
        <f>IFERROR(INDEX(Activos!$B$3:$C$16, MATCH(C696,Activos!$B$3:$B$16),2),"")</f>
        <v/>
      </c>
      <c r="C696" s="27"/>
      <c r="D696" s="27"/>
      <c r="E696" s="25"/>
      <c r="F696" s="26" t="str">
        <f>IF(E696='Tablas AR'!$B$4,1,IF('Análisis de Riesgos'!E696='Tablas AR'!$B$5,2,IF('Análisis de Riesgos'!E696='Tablas AR'!$B$6,3,"")))</f>
        <v/>
      </c>
      <c r="G696" s="25"/>
      <c r="H696" s="26" t="str">
        <f>IF(G696='Tablas AR'!$B$10,1,IF('Análisis de Riesgos'!G696='Tablas AR'!$B$11,2,IF('Análisis de Riesgos'!G696='Tablas AR'!$B$12,3,"")))</f>
        <v/>
      </c>
      <c r="I696" s="26" t="str">
        <f t="shared" si="10"/>
        <v/>
      </c>
    </row>
    <row r="697" spans="2:9" x14ac:dyDescent="0.25">
      <c r="B697" s="27" t="str">
        <f>IFERROR(INDEX(Activos!$B$3:$C$16, MATCH(C697,Activos!$B$3:$B$16),2),"")</f>
        <v/>
      </c>
      <c r="C697" s="27"/>
      <c r="D697" s="27"/>
      <c r="E697" s="25"/>
      <c r="F697" s="26" t="str">
        <f>IF(E697='Tablas AR'!$B$4,1,IF('Análisis de Riesgos'!E697='Tablas AR'!$B$5,2,IF('Análisis de Riesgos'!E697='Tablas AR'!$B$6,3,"")))</f>
        <v/>
      </c>
      <c r="G697" s="25"/>
      <c r="H697" s="26" t="str">
        <f>IF(G697='Tablas AR'!$B$10,1,IF('Análisis de Riesgos'!G697='Tablas AR'!$B$11,2,IF('Análisis de Riesgos'!G697='Tablas AR'!$B$12,3,"")))</f>
        <v/>
      </c>
      <c r="I697" s="26" t="str">
        <f t="shared" si="10"/>
        <v/>
      </c>
    </row>
    <row r="698" spans="2:9" x14ac:dyDescent="0.25">
      <c r="B698" s="27" t="str">
        <f>IFERROR(INDEX(Activos!$B$3:$C$16, MATCH(C698,Activos!$B$3:$B$16),2),"")</f>
        <v/>
      </c>
      <c r="C698" s="27"/>
      <c r="D698" s="27"/>
      <c r="E698" s="25"/>
      <c r="F698" s="26" t="str">
        <f>IF(E698='Tablas AR'!$B$4,1,IF('Análisis de Riesgos'!E698='Tablas AR'!$B$5,2,IF('Análisis de Riesgos'!E698='Tablas AR'!$B$6,3,"")))</f>
        <v/>
      </c>
      <c r="G698" s="25"/>
      <c r="H698" s="26" t="str">
        <f>IF(G698='Tablas AR'!$B$10,1,IF('Análisis de Riesgos'!G698='Tablas AR'!$B$11,2,IF('Análisis de Riesgos'!G698='Tablas AR'!$B$12,3,"")))</f>
        <v/>
      </c>
      <c r="I698" s="26" t="str">
        <f t="shared" si="10"/>
        <v/>
      </c>
    </row>
    <row r="699" spans="2:9" x14ac:dyDescent="0.25">
      <c r="B699" s="27" t="str">
        <f>IFERROR(INDEX(Activos!$B$3:$C$16, MATCH(C699,Activos!$B$3:$B$16),2),"")</f>
        <v/>
      </c>
      <c r="C699" s="27"/>
      <c r="D699" s="27"/>
      <c r="E699" s="25"/>
      <c r="F699" s="26" t="str">
        <f>IF(E699='Tablas AR'!$B$4,1,IF('Análisis de Riesgos'!E699='Tablas AR'!$B$5,2,IF('Análisis de Riesgos'!E699='Tablas AR'!$B$6,3,"")))</f>
        <v/>
      </c>
      <c r="G699" s="25"/>
      <c r="H699" s="26" t="str">
        <f>IF(G699='Tablas AR'!$B$10,1,IF('Análisis de Riesgos'!G699='Tablas AR'!$B$11,2,IF('Análisis de Riesgos'!G699='Tablas AR'!$B$12,3,"")))</f>
        <v/>
      </c>
      <c r="I699" s="26" t="str">
        <f t="shared" si="10"/>
        <v/>
      </c>
    </row>
    <row r="700" spans="2:9" x14ac:dyDescent="0.25">
      <c r="B700" s="27" t="str">
        <f>IFERROR(INDEX(Activos!$B$3:$C$16, MATCH(C700,Activos!$B$3:$B$16),2),"")</f>
        <v/>
      </c>
      <c r="C700" s="27"/>
      <c r="D700" s="27"/>
      <c r="E700" s="25"/>
      <c r="F700" s="26" t="str">
        <f>IF(E700='Tablas AR'!$B$4,1,IF('Análisis de Riesgos'!E700='Tablas AR'!$B$5,2,IF('Análisis de Riesgos'!E700='Tablas AR'!$B$6,3,"")))</f>
        <v/>
      </c>
      <c r="G700" s="25"/>
      <c r="H700" s="26" t="str">
        <f>IF(G700='Tablas AR'!$B$10,1,IF('Análisis de Riesgos'!G700='Tablas AR'!$B$11,2,IF('Análisis de Riesgos'!G700='Tablas AR'!$B$12,3,"")))</f>
        <v/>
      </c>
      <c r="I700" s="26" t="str">
        <f t="shared" si="10"/>
        <v/>
      </c>
    </row>
    <row r="701" spans="2:9" x14ac:dyDescent="0.25">
      <c r="B701" s="27" t="str">
        <f>IFERROR(INDEX(Activos!$B$3:$C$16, MATCH(C701,Activos!$B$3:$B$16),2),"")</f>
        <v/>
      </c>
      <c r="C701" s="27"/>
      <c r="D701" s="27"/>
      <c r="E701" s="25"/>
      <c r="F701" s="26" t="str">
        <f>IF(E701='Tablas AR'!$B$4,1,IF('Análisis de Riesgos'!E701='Tablas AR'!$B$5,2,IF('Análisis de Riesgos'!E701='Tablas AR'!$B$6,3,"")))</f>
        <v/>
      </c>
      <c r="G701" s="25"/>
      <c r="H701" s="26" t="str">
        <f>IF(G701='Tablas AR'!$B$10,1,IF('Análisis de Riesgos'!G701='Tablas AR'!$B$11,2,IF('Análisis de Riesgos'!G701='Tablas AR'!$B$12,3,"")))</f>
        <v/>
      </c>
      <c r="I701" s="26" t="str">
        <f t="shared" si="10"/>
        <v/>
      </c>
    </row>
    <row r="702" spans="2:9" x14ac:dyDescent="0.25">
      <c r="B702" s="27" t="str">
        <f>IFERROR(INDEX(Activos!$B$3:$C$16, MATCH(C702,Activos!$B$3:$B$16),2),"")</f>
        <v/>
      </c>
      <c r="C702" s="27"/>
      <c r="D702" s="27"/>
      <c r="E702" s="25"/>
      <c r="F702" s="26" t="str">
        <f>IF(E702='Tablas AR'!$B$4,1,IF('Análisis de Riesgos'!E702='Tablas AR'!$B$5,2,IF('Análisis de Riesgos'!E702='Tablas AR'!$B$6,3,"")))</f>
        <v/>
      </c>
      <c r="G702" s="25"/>
      <c r="H702" s="26" t="str">
        <f>IF(G702='Tablas AR'!$B$10,1,IF('Análisis de Riesgos'!G702='Tablas AR'!$B$11,2,IF('Análisis de Riesgos'!G702='Tablas AR'!$B$12,3,"")))</f>
        <v/>
      </c>
      <c r="I702" s="26" t="str">
        <f t="shared" si="10"/>
        <v/>
      </c>
    </row>
    <row r="703" spans="2:9" x14ac:dyDescent="0.25">
      <c r="B703" s="27" t="str">
        <f>IFERROR(INDEX(Activos!$B$3:$C$16, MATCH(C703,Activos!$B$3:$B$16),2),"")</f>
        <v/>
      </c>
      <c r="C703" s="27"/>
      <c r="D703" s="27"/>
      <c r="E703" s="25"/>
      <c r="F703" s="26" t="str">
        <f>IF(E703='Tablas AR'!$B$4,1,IF('Análisis de Riesgos'!E703='Tablas AR'!$B$5,2,IF('Análisis de Riesgos'!E703='Tablas AR'!$B$6,3,"")))</f>
        <v/>
      </c>
      <c r="G703" s="25"/>
      <c r="H703" s="26" t="str">
        <f>IF(G703='Tablas AR'!$B$10,1,IF('Análisis de Riesgos'!G703='Tablas AR'!$B$11,2,IF('Análisis de Riesgos'!G703='Tablas AR'!$B$12,3,"")))</f>
        <v/>
      </c>
      <c r="I703" s="26" t="str">
        <f t="shared" si="10"/>
        <v/>
      </c>
    </row>
    <row r="704" spans="2:9" x14ac:dyDescent="0.25">
      <c r="B704" s="27" t="str">
        <f>IFERROR(INDEX(Activos!$B$3:$C$16, MATCH(C704,Activos!$B$3:$B$16),2),"")</f>
        <v/>
      </c>
      <c r="C704" s="27"/>
      <c r="D704" s="27"/>
      <c r="E704" s="25"/>
      <c r="F704" s="26" t="str">
        <f>IF(E704='Tablas AR'!$B$4,1,IF('Análisis de Riesgos'!E704='Tablas AR'!$B$5,2,IF('Análisis de Riesgos'!E704='Tablas AR'!$B$6,3,"")))</f>
        <v/>
      </c>
      <c r="G704" s="25"/>
      <c r="H704" s="26" t="str">
        <f>IF(G704='Tablas AR'!$B$10,1,IF('Análisis de Riesgos'!G704='Tablas AR'!$B$11,2,IF('Análisis de Riesgos'!G704='Tablas AR'!$B$12,3,"")))</f>
        <v/>
      </c>
      <c r="I704" s="26" t="str">
        <f t="shared" si="10"/>
        <v/>
      </c>
    </row>
    <row r="705" spans="2:9" x14ac:dyDescent="0.25">
      <c r="B705" s="27" t="str">
        <f>IFERROR(INDEX(Activos!$B$3:$C$16, MATCH(C705,Activos!$B$3:$B$16),2),"")</f>
        <v/>
      </c>
      <c r="C705" s="27"/>
      <c r="D705" s="27"/>
      <c r="E705" s="25"/>
      <c r="F705" s="26" t="str">
        <f>IF(E705='Tablas AR'!$B$4,1,IF('Análisis de Riesgos'!E705='Tablas AR'!$B$5,2,IF('Análisis de Riesgos'!E705='Tablas AR'!$B$6,3,"")))</f>
        <v/>
      </c>
      <c r="G705" s="25"/>
      <c r="H705" s="26" t="str">
        <f>IF(G705='Tablas AR'!$B$10,1,IF('Análisis de Riesgos'!G705='Tablas AR'!$B$11,2,IF('Análisis de Riesgos'!G705='Tablas AR'!$B$12,3,"")))</f>
        <v/>
      </c>
      <c r="I705" s="26" t="str">
        <f t="shared" si="10"/>
        <v/>
      </c>
    </row>
    <row r="706" spans="2:9" x14ac:dyDescent="0.25">
      <c r="B706" s="27" t="str">
        <f>IFERROR(INDEX(Activos!$B$3:$C$16, MATCH(C706,Activos!$B$3:$B$16),2),"")</f>
        <v/>
      </c>
      <c r="C706" s="27"/>
      <c r="D706" s="27"/>
      <c r="E706" s="25"/>
      <c r="F706" s="26" t="str">
        <f>IF(E706='Tablas AR'!$B$4,1,IF('Análisis de Riesgos'!E706='Tablas AR'!$B$5,2,IF('Análisis de Riesgos'!E706='Tablas AR'!$B$6,3,"")))</f>
        <v/>
      </c>
      <c r="G706" s="25"/>
      <c r="H706" s="26" t="str">
        <f>IF(G706='Tablas AR'!$B$10,1,IF('Análisis de Riesgos'!G706='Tablas AR'!$B$11,2,IF('Análisis de Riesgos'!G706='Tablas AR'!$B$12,3,"")))</f>
        <v/>
      </c>
      <c r="I706" s="26" t="str">
        <f t="shared" si="10"/>
        <v/>
      </c>
    </row>
    <row r="707" spans="2:9" x14ac:dyDescent="0.25">
      <c r="B707" s="27" t="str">
        <f>IFERROR(INDEX(Activos!$B$3:$C$16, MATCH(C707,Activos!$B$3:$B$16),2),"")</f>
        <v/>
      </c>
      <c r="C707" s="27"/>
      <c r="D707" s="27"/>
      <c r="E707" s="25"/>
      <c r="F707" s="26" t="str">
        <f>IF(E707='Tablas AR'!$B$4,1,IF('Análisis de Riesgos'!E707='Tablas AR'!$B$5,2,IF('Análisis de Riesgos'!E707='Tablas AR'!$B$6,3,"")))</f>
        <v/>
      </c>
      <c r="G707" s="25"/>
      <c r="H707" s="26" t="str">
        <f>IF(G707='Tablas AR'!$B$10,1,IF('Análisis de Riesgos'!G707='Tablas AR'!$B$11,2,IF('Análisis de Riesgos'!G707='Tablas AR'!$B$12,3,"")))</f>
        <v/>
      </c>
      <c r="I707" s="26" t="str">
        <f t="shared" si="10"/>
        <v/>
      </c>
    </row>
    <row r="708" spans="2:9" x14ac:dyDescent="0.25">
      <c r="B708" s="27" t="str">
        <f>IFERROR(INDEX(Activos!$B$3:$C$16, MATCH(C708,Activos!$B$3:$B$16),2),"")</f>
        <v/>
      </c>
      <c r="C708" s="27"/>
      <c r="D708" s="27"/>
      <c r="E708" s="25"/>
      <c r="F708" s="26" t="str">
        <f>IF(E708='Tablas AR'!$B$4,1,IF('Análisis de Riesgos'!E708='Tablas AR'!$B$5,2,IF('Análisis de Riesgos'!E708='Tablas AR'!$B$6,3,"")))</f>
        <v/>
      </c>
      <c r="G708" s="25"/>
      <c r="H708" s="26" t="str">
        <f>IF(G708='Tablas AR'!$B$10,1,IF('Análisis de Riesgos'!G708='Tablas AR'!$B$11,2,IF('Análisis de Riesgos'!G708='Tablas AR'!$B$12,3,"")))</f>
        <v/>
      </c>
      <c r="I708" s="26" t="str">
        <f t="shared" ref="I708:I771" si="11" xml:space="preserve"> IFERROR(F708*H708,"")</f>
        <v/>
      </c>
    </row>
    <row r="709" spans="2:9" x14ac:dyDescent="0.25">
      <c r="B709" s="27" t="str">
        <f>IFERROR(INDEX(Activos!$B$3:$C$16, MATCH(C709,Activos!$B$3:$B$16),2),"")</f>
        <v/>
      </c>
      <c r="C709" s="27"/>
      <c r="D709" s="27"/>
      <c r="E709" s="25"/>
      <c r="F709" s="26" t="str">
        <f>IF(E709='Tablas AR'!$B$4,1,IF('Análisis de Riesgos'!E709='Tablas AR'!$B$5,2,IF('Análisis de Riesgos'!E709='Tablas AR'!$B$6,3,"")))</f>
        <v/>
      </c>
      <c r="G709" s="25"/>
      <c r="H709" s="26" t="str">
        <f>IF(G709='Tablas AR'!$B$10,1,IF('Análisis de Riesgos'!G709='Tablas AR'!$B$11,2,IF('Análisis de Riesgos'!G709='Tablas AR'!$B$12,3,"")))</f>
        <v/>
      </c>
      <c r="I709" s="26" t="str">
        <f t="shared" si="11"/>
        <v/>
      </c>
    </row>
    <row r="710" spans="2:9" x14ac:dyDescent="0.25">
      <c r="B710" s="27" t="str">
        <f>IFERROR(INDEX(Activos!$B$3:$C$16, MATCH(C710,Activos!$B$3:$B$16),2),"")</f>
        <v/>
      </c>
      <c r="C710" s="27"/>
      <c r="D710" s="27"/>
      <c r="E710" s="25"/>
      <c r="F710" s="26" t="str">
        <f>IF(E710='Tablas AR'!$B$4,1,IF('Análisis de Riesgos'!E710='Tablas AR'!$B$5,2,IF('Análisis de Riesgos'!E710='Tablas AR'!$B$6,3,"")))</f>
        <v/>
      </c>
      <c r="G710" s="25"/>
      <c r="H710" s="26" t="str">
        <f>IF(G710='Tablas AR'!$B$10,1,IF('Análisis de Riesgos'!G710='Tablas AR'!$B$11,2,IF('Análisis de Riesgos'!G710='Tablas AR'!$B$12,3,"")))</f>
        <v/>
      </c>
      <c r="I710" s="26" t="str">
        <f t="shared" si="11"/>
        <v/>
      </c>
    </row>
    <row r="711" spans="2:9" x14ac:dyDescent="0.25">
      <c r="B711" s="27" t="str">
        <f>IFERROR(INDEX(Activos!$B$3:$C$16, MATCH(C711,Activos!$B$3:$B$16),2),"")</f>
        <v/>
      </c>
      <c r="C711" s="27"/>
      <c r="D711" s="27"/>
      <c r="E711" s="25"/>
      <c r="F711" s="26" t="str">
        <f>IF(E711='Tablas AR'!$B$4,1,IF('Análisis de Riesgos'!E711='Tablas AR'!$B$5,2,IF('Análisis de Riesgos'!E711='Tablas AR'!$B$6,3,"")))</f>
        <v/>
      </c>
      <c r="G711" s="25"/>
      <c r="H711" s="26" t="str">
        <f>IF(G711='Tablas AR'!$B$10,1,IF('Análisis de Riesgos'!G711='Tablas AR'!$B$11,2,IF('Análisis de Riesgos'!G711='Tablas AR'!$B$12,3,"")))</f>
        <v/>
      </c>
      <c r="I711" s="26" t="str">
        <f t="shared" si="11"/>
        <v/>
      </c>
    </row>
    <row r="712" spans="2:9" x14ac:dyDescent="0.25">
      <c r="B712" s="27" t="str">
        <f>IFERROR(INDEX(Activos!$B$3:$C$16, MATCH(C712,Activos!$B$3:$B$16),2),"")</f>
        <v/>
      </c>
      <c r="C712" s="27"/>
      <c r="D712" s="27"/>
      <c r="E712" s="25"/>
      <c r="F712" s="26" t="str">
        <f>IF(E712='Tablas AR'!$B$4,1,IF('Análisis de Riesgos'!E712='Tablas AR'!$B$5,2,IF('Análisis de Riesgos'!E712='Tablas AR'!$B$6,3,"")))</f>
        <v/>
      </c>
      <c r="G712" s="25"/>
      <c r="H712" s="26" t="str">
        <f>IF(G712='Tablas AR'!$B$10,1,IF('Análisis de Riesgos'!G712='Tablas AR'!$B$11,2,IF('Análisis de Riesgos'!G712='Tablas AR'!$B$12,3,"")))</f>
        <v/>
      </c>
      <c r="I712" s="26" t="str">
        <f t="shared" si="11"/>
        <v/>
      </c>
    </row>
    <row r="713" spans="2:9" x14ac:dyDescent="0.25">
      <c r="B713" s="27" t="str">
        <f>IFERROR(INDEX(Activos!$B$3:$C$16, MATCH(C713,Activos!$B$3:$B$16),2),"")</f>
        <v/>
      </c>
      <c r="C713" s="27"/>
      <c r="D713" s="27"/>
      <c r="E713" s="25"/>
      <c r="F713" s="26" t="str">
        <f>IF(E713='Tablas AR'!$B$4,1,IF('Análisis de Riesgos'!E713='Tablas AR'!$B$5,2,IF('Análisis de Riesgos'!E713='Tablas AR'!$B$6,3,"")))</f>
        <v/>
      </c>
      <c r="G713" s="25"/>
      <c r="H713" s="26" t="str">
        <f>IF(G713='Tablas AR'!$B$10,1,IF('Análisis de Riesgos'!G713='Tablas AR'!$B$11,2,IF('Análisis de Riesgos'!G713='Tablas AR'!$B$12,3,"")))</f>
        <v/>
      </c>
      <c r="I713" s="26" t="str">
        <f t="shared" si="11"/>
        <v/>
      </c>
    </row>
    <row r="714" spans="2:9" x14ac:dyDescent="0.25">
      <c r="B714" s="27" t="str">
        <f>IFERROR(INDEX(Activos!$B$3:$C$16, MATCH(C714,Activos!$B$3:$B$16),2),"")</f>
        <v/>
      </c>
      <c r="C714" s="27"/>
      <c r="D714" s="27"/>
      <c r="E714" s="25"/>
      <c r="F714" s="26" t="str">
        <f>IF(E714='Tablas AR'!$B$4,1,IF('Análisis de Riesgos'!E714='Tablas AR'!$B$5,2,IF('Análisis de Riesgos'!E714='Tablas AR'!$B$6,3,"")))</f>
        <v/>
      </c>
      <c r="G714" s="25"/>
      <c r="H714" s="26" t="str">
        <f>IF(G714='Tablas AR'!$B$10,1,IF('Análisis de Riesgos'!G714='Tablas AR'!$B$11,2,IF('Análisis de Riesgos'!G714='Tablas AR'!$B$12,3,"")))</f>
        <v/>
      </c>
      <c r="I714" s="26" t="str">
        <f t="shared" si="11"/>
        <v/>
      </c>
    </row>
    <row r="715" spans="2:9" x14ac:dyDescent="0.25">
      <c r="B715" s="27" t="str">
        <f>IFERROR(INDEX(Activos!$B$3:$C$16, MATCH(C715,Activos!$B$3:$B$16),2),"")</f>
        <v/>
      </c>
      <c r="C715" s="27"/>
      <c r="D715" s="27"/>
      <c r="E715" s="25"/>
      <c r="F715" s="26" t="str">
        <f>IF(E715='Tablas AR'!$B$4,1,IF('Análisis de Riesgos'!E715='Tablas AR'!$B$5,2,IF('Análisis de Riesgos'!E715='Tablas AR'!$B$6,3,"")))</f>
        <v/>
      </c>
      <c r="G715" s="25"/>
      <c r="H715" s="26" t="str">
        <f>IF(G715='Tablas AR'!$B$10,1,IF('Análisis de Riesgos'!G715='Tablas AR'!$B$11,2,IF('Análisis de Riesgos'!G715='Tablas AR'!$B$12,3,"")))</f>
        <v/>
      </c>
      <c r="I715" s="26" t="str">
        <f t="shared" si="11"/>
        <v/>
      </c>
    </row>
    <row r="716" spans="2:9" x14ac:dyDescent="0.25">
      <c r="B716" s="27" t="str">
        <f>IFERROR(INDEX(Activos!$B$3:$C$16, MATCH(C716,Activos!$B$3:$B$16),2),"")</f>
        <v/>
      </c>
      <c r="C716" s="27"/>
      <c r="D716" s="27"/>
      <c r="E716" s="25"/>
      <c r="F716" s="26" t="str">
        <f>IF(E716='Tablas AR'!$B$4,1,IF('Análisis de Riesgos'!E716='Tablas AR'!$B$5,2,IF('Análisis de Riesgos'!E716='Tablas AR'!$B$6,3,"")))</f>
        <v/>
      </c>
      <c r="G716" s="25"/>
      <c r="H716" s="26" t="str">
        <f>IF(G716='Tablas AR'!$B$10,1,IF('Análisis de Riesgos'!G716='Tablas AR'!$B$11,2,IF('Análisis de Riesgos'!G716='Tablas AR'!$B$12,3,"")))</f>
        <v/>
      </c>
      <c r="I716" s="26" t="str">
        <f t="shared" si="11"/>
        <v/>
      </c>
    </row>
    <row r="717" spans="2:9" x14ac:dyDescent="0.25">
      <c r="B717" s="27" t="str">
        <f>IFERROR(INDEX(Activos!$B$3:$C$16, MATCH(C717,Activos!$B$3:$B$16),2),"")</f>
        <v/>
      </c>
      <c r="C717" s="27"/>
      <c r="D717" s="27"/>
      <c r="E717" s="25"/>
      <c r="F717" s="26" t="str">
        <f>IF(E717='Tablas AR'!$B$4,1,IF('Análisis de Riesgos'!E717='Tablas AR'!$B$5,2,IF('Análisis de Riesgos'!E717='Tablas AR'!$B$6,3,"")))</f>
        <v/>
      </c>
      <c r="G717" s="25"/>
      <c r="H717" s="26" t="str">
        <f>IF(G717='Tablas AR'!$B$10,1,IF('Análisis de Riesgos'!G717='Tablas AR'!$B$11,2,IF('Análisis de Riesgos'!G717='Tablas AR'!$B$12,3,"")))</f>
        <v/>
      </c>
      <c r="I717" s="26" t="str">
        <f t="shared" si="11"/>
        <v/>
      </c>
    </row>
    <row r="718" spans="2:9" x14ac:dyDescent="0.25">
      <c r="B718" s="27" t="str">
        <f>IFERROR(INDEX(Activos!$B$3:$C$16, MATCH(C718,Activos!$B$3:$B$16),2),"")</f>
        <v/>
      </c>
      <c r="C718" s="27"/>
      <c r="D718" s="27"/>
      <c r="E718" s="25"/>
      <c r="F718" s="26" t="str">
        <f>IF(E718='Tablas AR'!$B$4,1,IF('Análisis de Riesgos'!E718='Tablas AR'!$B$5,2,IF('Análisis de Riesgos'!E718='Tablas AR'!$B$6,3,"")))</f>
        <v/>
      </c>
      <c r="G718" s="25"/>
      <c r="H718" s="26" t="str">
        <f>IF(G718='Tablas AR'!$B$10,1,IF('Análisis de Riesgos'!G718='Tablas AR'!$B$11,2,IF('Análisis de Riesgos'!G718='Tablas AR'!$B$12,3,"")))</f>
        <v/>
      </c>
      <c r="I718" s="26" t="str">
        <f t="shared" si="11"/>
        <v/>
      </c>
    </row>
    <row r="719" spans="2:9" x14ac:dyDescent="0.25">
      <c r="B719" s="27" t="str">
        <f>IFERROR(INDEX(Activos!$B$3:$C$16, MATCH(C719,Activos!$B$3:$B$16),2),"")</f>
        <v/>
      </c>
      <c r="C719" s="27"/>
      <c r="D719" s="27"/>
      <c r="E719" s="25"/>
      <c r="F719" s="26" t="str">
        <f>IF(E719='Tablas AR'!$B$4,1,IF('Análisis de Riesgos'!E719='Tablas AR'!$B$5,2,IF('Análisis de Riesgos'!E719='Tablas AR'!$B$6,3,"")))</f>
        <v/>
      </c>
      <c r="G719" s="25"/>
      <c r="H719" s="26" t="str">
        <f>IF(G719='Tablas AR'!$B$10,1,IF('Análisis de Riesgos'!G719='Tablas AR'!$B$11,2,IF('Análisis de Riesgos'!G719='Tablas AR'!$B$12,3,"")))</f>
        <v/>
      </c>
      <c r="I719" s="26" t="str">
        <f t="shared" si="11"/>
        <v/>
      </c>
    </row>
    <row r="720" spans="2:9" x14ac:dyDescent="0.25">
      <c r="B720" s="27" t="str">
        <f>IFERROR(INDEX(Activos!$B$3:$C$16, MATCH(C720,Activos!$B$3:$B$16),2),"")</f>
        <v/>
      </c>
      <c r="C720" s="27"/>
      <c r="D720" s="27"/>
      <c r="E720" s="25"/>
      <c r="F720" s="26" t="str">
        <f>IF(E720='Tablas AR'!$B$4,1,IF('Análisis de Riesgos'!E720='Tablas AR'!$B$5,2,IF('Análisis de Riesgos'!E720='Tablas AR'!$B$6,3,"")))</f>
        <v/>
      </c>
      <c r="G720" s="25"/>
      <c r="H720" s="26" t="str">
        <f>IF(G720='Tablas AR'!$B$10,1,IF('Análisis de Riesgos'!G720='Tablas AR'!$B$11,2,IF('Análisis de Riesgos'!G720='Tablas AR'!$B$12,3,"")))</f>
        <v/>
      </c>
      <c r="I720" s="26" t="str">
        <f t="shared" si="11"/>
        <v/>
      </c>
    </row>
    <row r="721" spans="2:9" x14ac:dyDescent="0.25">
      <c r="B721" s="27" t="str">
        <f>IFERROR(INDEX(Activos!$B$3:$C$16, MATCH(C721,Activos!$B$3:$B$16),2),"")</f>
        <v/>
      </c>
      <c r="C721" s="27"/>
      <c r="D721" s="27"/>
      <c r="E721" s="25"/>
      <c r="F721" s="26" t="str">
        <f>IF(E721='Tablas AR'!$B$4,1,IF('Análisis de Riesgos'!E721='Tablas AR'!$B$5,2,IF('Análisis de Riesgos'!E721='Tablas AR'!$B$6,3,"")))</f>
        <v/>
      </c>
      <c r="G721" s="25"/>
      <c r="H721" s="26" t="str">
        <f>IF(G721='Tablas AR'!$B$10,1,IF('Análisis de Riesgos'!G721='Tablas AR'!$B$11,2,IF('Análisis de Riesgos'!G721='Tablas AR'!$B$12,3,"")))</f>
        <v/>
      </c>
      <c r="I721" s="26" t="str">
        <f t="shared" si="11"/>
        <v/>
      </c>
    </row>
    <row r="722" spans="2:9" x14ac:dyDescent="0.25">
      <c r="B722" s="27" t="str">
        <f>IFERROR(INDEX(Activos!$B$3:$C$16, MATCH(C722,Activos!$B$3:$B$16),2),"")</f>
        <v/>
      </c>
      <c r="C722" s="27"/>
      <c r="D722" s="27"/>
      <c r="E722" s="25"/>
      <c r="F722" s="26" t="str">
        <f>IF(E722='Tablas AR'!$B$4,1,IF('Análisis de Riesgos'!E722='Tablas AR'!$B$5,2,IF('Análisis de Riesgos'!E722='Tablas AR'!$B$6,3,"")))</f>
        <v/>
      </c>
      <c r="G722" s="25"/>
      <c r="H722" s="26" t="str">
        <f>IF(G722='Tablas AR'!$B$10,1,IF('Análisis de Riesgos'!G722='Tablas AR'!$B$11,2,IF('Análisis de Riesgos'!G722='Tablas AR'!$B$12,3,"")))</f>
        <v/>
      </c>
      <c r="I722" s="26" t="str">
        <f t="shared" si="11"/>
        <v/>
      </c>
    </row>
    <row r="723" spans="2:9" x14ac:dyDescent="0.25">
      <c r="B723" s="27" t="str">
        <f>IFERROR(INDEX(Activos!$B$3:$C$16, MATCH(C723,Activos!$B$3:$B$16),2),"")</f>
        <v/>
      </c>
      <c r="C723" s="27"/>
      <c r="D723" s="27"/>
      <c r="E723" s="25"/>
      <c r="F723" s="26" t="str">
        <f>IF(E723='Tablas AR'!$B$4,1,IF('Análisis de Riesgos'!E723='Tablas AR'!$B$5,2,IF('Análisis de Riesgos'!E723='Tablas AR'!$B$6,3,"")))</f>
        <v/>
      </c>
      <c r="G723" s="25"/>
      <c r="H723" s="26" t="str">
        <f>IF(G723='Tablas AR'!$B$10,1,IF('Análisis de Riesgos'!G723='Tablas AR'!$B$11,2,IF('Análisis de Riesgos'!G723='Tablas AR'!$B$12,3,"")))</f>
        <v/>
      </c>
      <c r="I723" s="26" t="str">
        <f t="shared" si="11"/>
        <v/>
      </c>
    </row>
    <row r="724" spans="2:9" x14ac:dyDescent="0.25">
      <c r="B724" s="27" t="str">
        <f>IFERROR(INDEX(Activos!$B$3:$C$16, MATCH(C724,Activos!$B$3:$B$16),2),"")</f>
        <v/>
      </c>
      <c r="C724" s="27"/>
      <c r="D724" s="27"/>
      <c r="E724" s="25"/>
      <c r="F724" s="26" t="str">
        <f>IF(E724='Tablas AR'!$B$4,1,IF('Análisis de Riesgos'!E724='Tablas AR'!$B$5,2,IF('Análisis de Riesgos'!E724='Tablas AR'!$B$6,3,"")))</f>
        <v/>
      </c>
      <c r="G724" s="25"/>
      <c r="H724" s="26" t="str">
        <f>IF(G724='Tablas AR'!$B$10,1,IF('Análisis de Riesgos'!G724='Tablas AR'!$B$11,2,IF('Análisis de Riesgos'!G724='Tablas AR'!$B$12,3,"")))</f>
        <v/>
      </c>
      <c r="I724" s="26" t="str">
        <f t="shared" si="11"/>
        <v/>
      </c>
    </row>
    <row r="725" spans="2:9" x14ac:dyDescent="0.25">
      <c r="B725" s="27" t="str">
        <f>IFERROR(INDEX(Activos!$B$3:$C$16, MATCH(C725,Activos!$B$3:$B$16),2),"")</f>
        <v/>
      </c>
      <c r="C725" s="27"/>
      <c r="D725" s="27"/>
      <c r="E725" s="25"/>
      <c r="F725" s="26" t="str">
        <f>IF(E725='Tablas AR'!$B$4,1,IF('Análisis de Riesgos'!E725='Tablas AR'!$B$5,2,IF('Análisis de Riesgos'!E725='Tablas AR'!$B$6,3,"")))</f>
        <v/>
      </c>
      <c r="G725" s="25"/>
      <c r="H725" s="26" t="str">
        <f>IF(G725='Tablas AR'!$B$10,1,IF('Análisis de Riesgos'!G725='Tablas AR'!$B$11,2,IF('Análisis de Riesgos'!G725='Tablas AR'!$B$12,3,"")))</f>
        <v/>
      </c>
      <c r="I725" s="26" t="str">
        <f t="shared" si="11"/>
        <v/>
      </c>
    </row>
    <row r="726" spans="2:9" x14ac:dyDescent="0.25">
      <c r="B726" s="27" t="str">
        <f>IFERROR(INDEX(Activos!$B$3:$C$16, MATCH(C726,Activos!$B$3:$B$16),2),"")</f>
        <v/>
      </c>
      <c r="C726" s="27"/>
      <c r="D726" s="27"/>
      <c r="E726" s="25"/>
      <c r="F726" s="26" t="str">
        <f>IF(E726='Tablas AR'!$B$4,1,IF('Análisis de Riesgos'!E726='Tablas AR'!$B$5,2,IF('Análisis de Riesgos'!E726='Tablas AR'!$B$6,3,"")))</f>
        <v/>
      </c>
      <c r="G726" s="25"/>
      <c r="H726" s="26" t="str">
        <f>IF(G726='Tablas AR'!$B$10,1,IF('Análisis de Riesgos'!G726='Tablas AR'!$B$11,2,IF('Análisis de Riesgos'!G726='Tablas AR'!$B$12,3,"")))</f>
        <v/>
      </c>
      <c r="I726" s="26" t="str">
        <f t="shared" si="11"/>
        <v/>
      </c>
    </row>
    <row r="727" spans="2:9" x14ac:dyDescent="0.25">
      <c r="B727" s="27" t="str">
        <f>IFERROR(INDEX(Activos!$B$3:$C$16, MATCH(C727,Activos!$B$3:$B$16),2),"")</f>
        <v/>
      </c>
      <c r="C727" s="27"/>
      <c r="D727" s="27"/>
      <c r="E727" s="25"/>
      <c r="F727" s="26" t="str">
        <f>IF(E727='Tablas AR'!$B$4,1,IF('Análisis de Riesgos'!E727='Tablas AR'!$B$5,2,IF('Análisis de Riesgos'!E727='Tablas AR'!$B$6,3,"")))</f>
        <v/>
      </c>
      <c r="G727" s="25"/>
      <c r="H727" s="26" t="str">
        <f>IF(G727='Tablas AR'!$B$10,1,IF('Análisis de Riesgos'!G727='Tablas AR'!$B$11,2,IF('Análisis de Riesgos'!G727='Tablas AR'!$B$12,3,"")))</f>
        <v/>
      </c>
      <c r="I727" s="26" t="str">
        <f t="shared" si="11"/>
        <v/>
      </c>
    </row>
    <row r="728" spans="2:9" x14ac:dyDescent="0.25">
      <c r="B728" s="27" t="str">
        <f>IFERROR(INDEX(Activos!$B$3:$C$16, MATCH(C728,Activos!$B$3:$B$16),2),"")</f>
        <v/>
      </c>
      <c r="C728" s="27"/>
      <c r="D728" s="27"/>
      <c r="E728" s="25"/>
      <c r="F728" s="26" t="str">
        <f>IF(E728='Tablas AR'!$B$4,1,IF('Análisis de Riesgos'!E728='Tablas AR'!$B$5,2,IF('Análisis de Riesgos'!E728='Tablas AR'!$B$6,3,"")))</f>
        <v/>
      </c>
      <c r="G728" s="25"/>
      <c r="H728" s="26" t="str">
        <f>IF(G728='Tablas AR'!$B$10,1,IF('Análisis de Riesgos'!G728='Tablas AR'!$B$11,2,IF('Análisis de Riesgos'!G728='Tablas AR'!$B$12,3,"")))</f>
        <v/>
      </c>
      <c r="I728" s="26" t="str">
        <f t="shared" si="11"/>
        <v/>
      </c>
    </row>
    <row r="729" spans="2:9" x14ac:dyDescent="0.25">
      <c r="B729" s="27" t="str">
        <f>IFERROR(INDEX(Activos!$B$3:$C$16, MATCH(C729,Activos!$B$3:$B$16),2),"")</f>
        <v/>
      </c>
      <c r="C729" s="27"/>
      <c r="D729" s="27"/>
      <c r="E729" s="25"/>
      <c r="F729" s="26" t="str">
        <f>IF(E729='Tablas AR'!$B$4,1,IF('Análisis de Riesgos'!E729='Tablas AR'!$B$5,2,IF('Análisis de Riesgos'!E729='Tablas AR'!$B$6,3,"")))</f>
        <v/>
      </c>
      <c r="G729" s="25"/>
      <c r="H729" s="26" t="str">
        <f>IF(G729='Tablas AR'!$B$10,1,IF('Análisis de Riesgos'!G729='Tablas AR'!$B$11,2,IF('Análisis de Riesgos'!G729='Tablas AR'!$B$12,3,"")))</f>
        <v/>
      </c>
      <c r="I729" s="26" t="str">
        <f t="shared" si="11"/>
        <v/>
      </c>
    </row>
    <row r="730" spans="2:9" x14ac:dyDescent="0.25">
      <c r="B730" s="27" t="str">
        <f>IFERROR(INDEX(Activos!$B$3:$C$16, MATCH(C730,Activos!$B$3:$B$16),2),"")</f>
        <v/>
      </c>
      <c r="C730" s="27"/>
      <c r="D730" s="27"/>
      <c r="E730" s="25"/>
      <c r="F730" s="26" t="str">
        <f>IF(E730='Tablas AR'!$B$4,1,IF('Análisis de Riesgos'!E730='Tablas AR'!$B$5,2,IF('Análisis de Riesgos'!E730='Tablas AR'!$B$6,3,"")))</f>
        <v/>
      </c>
      <c r="G730" s="25"/>
      <c r="H730" s="26" t="str">
        <f>IF(G730='Tablas AR'!$B$10,1,IF('Análisis de Riesgos'!G730='Tablas AR'!$B$11,2,IF('Análisis de Riesgos'!G730='Tablas AR'!$B$12,3,"")))</f>
        <v/>
      </c>
      <c r="I730" s="26" t="str">
        <f t="shared" si="11"/>
        <v/>
      </c>
    </row>
    <row r="731" spans="2:9" x14ac:dyDescent="0.25">
      <c r="B731" s="27" t="str">
        <f>IFERROR(INDEX(Activos!$B$3:$C$16, MATCH(C731,Activos!$B$3:$B$16),2),"")</f>
        <v/>
      </c>
      <c r="C731" s="27"/>
      <c r="D731" s="27"/>
      <c r="E731" s="25"/>
      <c r="F731" s="26" t="str">
        <f>IF(E731='Tablas AR'!$B$4,1,IF('Análisis de Riesgos'!E731='Tablas AR'!$B$5,2,IF('Análisis de Riesgos'!E731='Tablas AR'!$B$6,3,"")))</f>
        <v/>
      </c>
      <c r="G731" s="25"/>
      <c r="H731" s="26" t="str">
        <f>IF(G731='Tablas AR'!$B$10,1,IF('Análisis de Riesgos'!G731='Tablas AR'!$B$11,2,IF('Análisis de Riesgos'!G731='Tablas AR'!$B$12,3,"")))</f>
        <v/>
      </c>
      <c r="I731" s="26" t="str">
        <f t="shared" si="11"/>
        <v/>
      </c>
    </row>
    <row r="732" spans="2:9" x14ac:dyDescent="0.25">
      <c r="B732" s="27" t="str">
        <f>IFERROR(INDEX(Activos!$B$3:$C$16, MATCH(C732,Activos!$B$3:$B$16),2),"")</f>
        <v/>
      </c>
      <c r="C732" s="27"/>
      <c r="D732" s="27"/>
      <c r="E732" s="25"/>
      <c r="F732" s="26" t="str">
        <f>IF(E732='Tablas AR'!$B$4,1,IF('Análisis de Riesgos'!E732='Tablas AR'!$B$5,2,IF('Análisis de Riesgos'!E732='Tablas AR'!$B$6,3,"")))</f>
        <v/>
      </c>
      <c r="G732" s="25"/>
      <c r="H732" s="26" t="str">
        <f>IF(G732='Tablas AR'!$B$10,1,IF('Análisis de Riesgos'!G732='Tablas AR'!$B$11,2,IF('Análisis de Riesgos'!G732='Tablas AR'!$B$12,3,"")))</f>
        <v/>
      </c>
      <c r="I732" s="26" t="str">
        <f t="shared" si="11"/>
        <v/>
      </c>
    </row>
    <row r="733" spans="2:9" x14ac:dyDescent="0.25">
      <c r="B733" s="27" t="str">
        <f>IFERROR(INDEX(Activos!$B$3:$C$16, MATCH(C733,Activos!$B$3:$B$16),2),"")</f>
        <v/>
      </c>
      <c r="C733" s="27"/>
      <c r="D733" s="27"/>
      <c r="E733" s="25"/>
      <c r="F733" s="26" t="str">
        <f>IF(E733='Tablas AR'!$B$4,1,IF('Análisis de Riesgos'!E733='Tablas AR'!$B$5,2,IF('Análisis de Riesgos'!E733='Tablas AR'!$B$6,3,"")))</f>
        <v/>
      </c>
      <c r="G733" s="25"/>
      <c r="H733" s="26" t="str">
        <f>IF(G733='Tablas AR'!$B$10,1,IF('Análisis de Riesgos'!G733='Tablas AR'!$B$11,2,IF('Análisis de Riesgos'!G733='Tablas AR'!$B$12,3,"")))</f>
        <v/>
      </c>
      <c r="I733" s="26" t="str">
        <f t="shared" si="11"/>
        <v/>
      </c>
    </row>
    <row r="734" spans="2:9" x14ac:dyDescent="0.25">
      <c r="B734" s="27" t="str">
        <f>IFERROR(INDEX(Activos!$B$3:$C$16, MATCH(C734,Activos!$B$3:$B$16),2),"")</f>
        <v/>
      </c>
      <c r="C734" s="27"/>
      <c r="D734" s="27"/>
      <c r="E734" s="25"/>
      <c r="F734" s="26" t="str">
        <f>IF(E734='Tablas AR'!$B$4,1,IF('Análisis de Riesgos'!E734='Tablas AR'!$B$5,2,IF('Análisis de Riesgos'!E734='Tablas AR'!$B$6,3,"")))</f>
        <v/>
      </c>
      <c r="G734" s="25"/>
      <c r="H734" s="26" t="str">
        <f>IF(G734='Tablas AR'!$B$10,1,IF('Análisis de Riesgos'!G734='Tablas AR'!$B$11,2,IF('Análisis de Riesgos'!G734='Tablas AR'!$B$12,3,"")))</f>
        <v/>
      </c>
      <c r="I734" s="26" t="str">
        <f t="shared" si="11"/>
        <v/>
      </c>
    </row>
    <row r="735" spans="2:9" x14ac:dyDescent="0.25">
      <c r="B735" s="27" t="str">
        <f>IFERROR(INDEX(Activos!$B$3:$C$16, MATCH(C735,Activos!$B$3:$B$16),2),"")</f>
        <v/>
      </c>
      <c r="C735" s="27"/>
      <c r="D735" s="27"/>
      <c r="E735" s="25"/>
      <c r="F735" s="26" t="str">
        <f>IF(E735='Tablas AR'!$B$4,1,IF('Análisis de Riesgos'!E735='Tablas AR'!$B$5,2,IF('Análisis de Riesgos'!E735='Tablas AR'!$B$6,3,"")))</f>
        <v/>
      </c>
      <c r="G735" s="25"/>
      <c r="H735" s="26" t="str">
        <f>IF(G735='Tablas AR'!$B$10,1,IF('Análisis de Riesgos'!G735='Tablas AR'!$B$11,2,IF('Análisis de Riesgos'!G735='Tablas AR'!$B$12,3,"")))</f>
        <v/>
      </c>
      <c r="I735" s="26" t="str">
        <f t="shared" si="11"/>
        <v/>
      </c>
    </row>
    <row r="736" spans="2:9" x14ac:dyDescent="0.25">
      <c r="B736" s="27" t="str">
        <f>IFERROR(INDEX(Activos!$B$3:$C$16, MATCH(C736,Activos!$B$3:$B$16),2),"")</f>
        <v/>
      </c>
      <c r="C736" s="27"/>
      <c r="D736" s="27"/>
      <c r="E736" s="25"/>
      <c r="F736" s="26" t="str">
        <f>IF(E736='Tablas AR'!$B$4,1,IF('Análisis de Riesgos'!E736='Tablas AR'!$B$5,2,IF('Análisis de Riesgos'!E736='Tablas AR'!$B$6,3,"")))</f>
        <v/>
      </c>
      <c r="G736" s="25"/>
      <c r="H736" s="26" t="str">
        <f>IF(G736='Tablas AR'!$B$10,1,IF('Análisis de Riesgos'!G736='Tablas AR'!$B$11,2,IF('Análisis de Riesgos'!G736='Tablas AR'!$B$12,3,"")))</f>
        <v/>
      </c>
      <c r="I736" s="26" t="str">
        <f t="shared" si="11"/>
        <v/>
      </c>
    </row>
    <row r="737" spans="2:9" x14ac:dyDescent="0.25">
      <c r="B737" s="27" t="str">
        <f>IFERROR(INDEX(Activos!$B$3:$C$16, MATCH(C737,Activos!$B$3:$B$16),2),"")</f>
        <v/>
      </c>
      <c r="C737" s="27"/>
      <c r="D737" s="27"/>
      <c r="E737" s="25"/>
      <c r="F737" s="26" t="str">
        <f>IF(E737='Tablas AR'!$B$4,1,IF('Análisis de Riesgos'!E737='Tablas AR'!$B$5,2,IF('Análisis de Riesgos'!E737='Tablas AR'!$B$6,3,"")))</f>
        <v/>
      </c>
      <c r="G737" s="25"/>
      <c r="H737" s="26" t="str">
        <f>IF(G737='Tablas AR'!$B$10,1,IF('Análisis de Riesgos'!G737='Tablas AR'!$B$11,2,IF('Análisis de Riesgos'!G737='Tablas AR'!$B$12,3,"")))</f>
        <v/>
      </c>
      <c r="I737" s="26" t="str">
        <f t="shared" si="11"/>
        <v/>
      </c>
    </row>
    <row r="738" spans="2:9" x14ac:dyDescent="0.25">
      <c r="B738" s="27" t="str">
        <f>IFERROR(INDEX(Activos!$B$3:$C$16, MATCH(C738,Activos!$B$3:$B$16),2),"")</f>
        <v/>
      </c>
      <c r="C738" s="27"/>
      <c r="D738" s="27"/>
      <c r="E738" s="25"/>
      <c r="F738" s="26" t="str">
        <f>IF(E738='Tablas AR'!$B$4,1,IF('Análisis de Riesgos'!E738='Tablas AR'!$B$5,2,IF('Análisis de Riesgos'!E738='Tablas AR'!$B$6,3,"")))</f>
        <v/>
      </c>
      <c r="G738" s="25"/>
      <c r="H738" s="26" t="str">
        <f>IF(G738='Tablas AR'!$B$10,1,IF('Análisis de Riesgos'!G738='Tablas AR'!$B$11,2,IF('Análisis de Riesgos'!G738='Tablas AR'!$B$12,3,"")))</f>
        <v/>
      </c>
      <c r="I738" s="26" t="str">
        <f t="shared" si="11"/>
        <v/>
      </c>
    </row>
    <row r="739" spans="2:9" x14ac:dyDescent="0.25">
      <c r="B739" s="27" t="str">
        <f>IFERROR(INDEX(Activos!$B$3:$C$16, MATCH(C739,Activos!$B$3:$B$16),2),"")</f>
        <v/>
      </c>
      <c r="C739" s="27"/>
      <c r="D739" s="27"/>
      <c r="E739" s="25"/>
      <c r="F739" s="26" t="str">
        <f>IF(E739='Tablas AR'!$B$4,1,IF('Análisis de Riesgos'!E739='Tablas AR'!$B$5,2,IF('Análisis de Riesgos'!E739='Tablas AR'!$B$6,3,"")))</f>
        <v/>
      </c>
      <c r="G739" s="25"/>
      <c r="H739" s="26" t="str">
        <f>IF(G739='Tablas AR'!$B$10,1,IF('Análisis de Riesgos'!G739='Tablas AR'!$B$11,2,IF('Análisis de Riesgos'!G739='Tablas AR'!$B$12,3,"")))</f>
        <v/>
      </c>
      <c r="I739" s="26" t="str">
        <f t="shared" si="11"/>
        <v/>
      </c>
    </row>
    <row r="740" spans="2:9" x14ac:dyDescent="0.25">
      <c r="B740" s="27" t="str">
        <f>IFERROR(INDEX(Activos!$B$3:$C$16, MATCH(C740,Activos!$B$3:$B$16),2),"")</f>
        <v/>
      </c>
      <c r="C740" s="27"/>
      <c r="D740" s="27"/>
      <c r="E740" s="25"/>
      <c r="F740" s="26" t="str">
        <f>IF(E740='Tablas AR'!$B$4,1,IF('Análisis de Riesgos'!E740='Tablas AR'!$B$5,2,IF('Análisis de Riesgos'!E740='Tablas AR'!$B$6,3,"")))</f>
        <v/>
      </c>
      <c r="G740" s="25"/>
      <c r="H740" s="26" t="str">
        <f>IF(G740='Tablas AR'!$B$10,1,IF('Análisis de Riesgos'!G740='Tablas AR'!$B$11,2,IF('Análisis de Riesgos'!G740='Tablas AR'!$B$12,3,"")))</f>
        <v/>
      </c>
      <c r="I740" s="26" t="str">
        <f t="shared" si="11"/>
        <v/>
      </c>
    </row>
    <row r="741" spans="2:9" x14ac:dyDescent="0.25">
      <c r="B741" s="27" t="str">
        <f>IFERROR(INDEX(Activos!$B$3:$C$16, MATCH(C741,Activos!$B$3:$B$16),2),"")</f>
        <v/>
      </c>
      <c r="C741" s="27"/>
      <c r="D741" s="27"/>
      <c r="E741" s="25"/>
      <c r="F741" s="26" t="str">
        <f>IF(E741='Tablas AR'!$B$4,1,IF('Análisis de Riesgos'!E741='Tablas AR'!$B$5,2,IF('Análisis de Riesgos'!E741='Tablas AR'!$B$6,3,"")))</f>
        <v/>
      </c>
      <c r="G741" s="25"/>
      <c r="H741" s="26" t="str">
        <f>IF(G741='Tablas AR'!$B$10,1,IF('Análisis de Riesgos'!G741='Tablas AR'!$B$11,2,IF('Análisis de Riesgos'!G741='Tablas AR'!$B$12,3,"")))</f>
        <v/>
      </c>
      <c r="I741" s="26" t="str">
        <f t="shared" si="11"/>
        <v/>
      </c>
    </row>
    <row r="742" spans="2:9" x14ac:dyDescent="0.25">
      <c r="B742" s="27" t="str">
        <f>IFERROR(INDEX(Activos!$B$3:$C$16, MATCH(C742,Activos!$B$3:$B$16),2),"")</f>
        <v/>
      </c>
      <c r="C742" s="27"/>
      <c r="D742" s="27"/>
      <c r="E742" s="25"/>
      <c r="F742" s="26" t="str">
        <f>IF(E742='Tablas AR'!$B$4,1,IF('Análisis de Riesgos'!E742='Tablas AR'!$B$5,2,IF('Análisis de Riesgos'!E742='Tablas AR'!$B$6,3,"")))</f>
        <v/>
      </c>
      <c r="G742" s="25"/>
      <c r="H742" s="26" t="str">
        <f>IF(G742='Tablas AR'!$B$10,1,IF('Análisis de Riesgos'!G742='Tablas AR'!$B$11,2,IF('Análisis de Riesgos'!G742='Tablas AR'!$B$12,3,"")))</f>
        <v/>
      </c>
      <c r="I742" s="26" t="str">
        <f t="shared" si="11"/>
        <v/>
      </c>
    </row>
    <row r="743" spans="2:9" x14ac:dyDescent="0.25">
      <c r="B743" s="27" t="str">
        <f>IFERROR(INDEX(Activos!$B$3:$C$16, MATCH(C743,Activos!$B$3:$B$16),2),"")</f>
        <v/>
      </c>
      <c r="C743" s="27"/>
      <c r="D743" s="27"/>
      <c r="E743" s="25"/>
      <c r="F743" s="26" t="str">
        <f>IF(E743='Tablas AR'!$B$4,1,IF('Análisis de Riesgos'!E743='Tablas AR'!$B$5,2,IF('Análisis de Riesgos'!E743='Tablas AR'!$B$6,3,"")))</f>
        <v/>
      </c>
      <c r="G743" s="25"/>
      <c r="H743" s="26" t="str">
        <f>IF(G743='Tablas AR'!$B$10,1,IF('Análisis de Riesgos'!G743='Tablas AR'!$B$11,2,IF('Análisis de Riesgos'!G743='Tablas AR'!$B$12,3,"")))</f>
        <v/>
      </c>
      <c r="I743" s="26" t="str">
        <f t="shared" si="11"/>
        <v/>
      </c>
    </row>
    <row r="744" spans="2:9" x14ac:dyDescent="0.25">
      <c r="B744" s="27" t="str">
        <f>IFERROR(INDEX(Activos!$B$3:$C$16, MATCH(C744,Activos!$B$3:$B$16),2),"")</f>
        <v/>
      </c>
      <c r="C744" s="27"/>
      <c r="D744" s="27"/>
      <c r="E744" s="25"/>
      <c r="F744" s="26" t="str">
        <f>IF(E744='Tablas AR'!$B$4,1,IF('Análisis de Riesgos'!E744='Tablas AR'!$B$5,2,IF('Análisis de Riesgos'!E744='Tablas AR'!$B$6,3,"")))</f>
        <v/>
      </c>
      <c r="G744" s="25"/>
      <c r="H744" s="26" t="str">
        <f>IF(G744='Tablas AR'!$B$10,1,IF('Análisis de Riesgos'!G744='Tablas AR'!$B$11,2,IF('Análisis de Riesgos'!G744='Tablas AR'!$B$12,3,"")))</f>
        <v/>
      </c>
      <c r="I744" s="26" t="str">
        <f t="shared" si="11"/>
        <v/>
      </c>
    </row>
    <row r="745" spans="2:9" x14ac:dyDescent="0.25">
      <c r="B745" s="27" t="str">
        <f>IFERROR(INDEX(Activos!$B$3:$C$16, MATCH(C745,Activos!$B$3:$B$16),2),"")</f>
        <v/>
      </c>
      <c r="C745" s="27"/>
      <c r="D745" s="27"/>
      <c r="E745" s="25"/>
      <c r="F745" s="26" t="str">
        <f>IF(E745='Tablas AR'!$B$4,1,IF('Análisis de Riesgos'!E745='Tablas AR'!$B$5,2,IF('Análisis de Riesgos'!E745='Tablas AR'!$B$6,3,"")))</f>
        <v/>
      </c>
      <c r="G745" s="25"/>
      <c r="H745" s="26" t="str">
        <f>IF(G745='Tablas AR'!$B$10,1,IF('Análisis de Riesgos'!G745='Tablas AR'!$B$11,2,IF('Análisis de Riesgos'!G745='Tablas AR'!$B$12,3,"")))</f>
        <v/>
      </c>
      <c r="I745" s="26" t="str">
        <f t="shared" si="11"/>
        <v/>
      </c>
    </row>
    <row r="746" spans="2:9" x14ac:dyDescent="0.25">
      <c r="B746" s="27" t="str">
        <f>IFERROR(INDEX(Activos!$B$3:$C$16, MATCH(C746,Activos!$B$3:$B$16),2),"")</f>
        <v/>
      </c>
      <c r="C746" s="27"/>
      <c r="D746" s="27"/>
      <c r="E746" s="25"/>
      <c r="F746" s="26" t="str">
        <f>IF(E746='Tablas AR'!$B$4,1,IF('Análisis de Riesgos'!E746='Tablas AR'!$B$5,2,IF('Análisis de Riesgos'!E746='Tablas AR'!$B$6,3,"")))</f>
        <v/>
      </c>
      <c r="G746" s="25"/>
      <c r="H746" s="26" t="str">
        <f>IF(G746='Tablas AR'!$B$10,1,IF('Análisis de Riesgos'!G746='Tablas AR'!$B$11,2,IF('Análisis de Riesgos'!G746='Tablas AR'!$B$12,3,"")))</f>
        <v/>
      </c>
      <c r="I746" s="26" t="str">
        <f t="shared" si="11"/>
        <v/>
      </c>
    </row>
    <row r="747" spans="2:9" x14ac:dyDescent="0.25">
      <c r="B747" s="27" t="str">
        <f>IFERROR(INDEX(Activos!$B$3:$C$16, MATCH(C747,Activos!$B$3:$B$16),2),"")</f>
        <v/>
      </c>
      <c r="C747" s="27"/>
      <c r="D747" s="27"/>
      <c r="E747" s="25"/>
      <c r="F747" s="26" t="str">
        <f>IF(E747='Tablas AR'!$B$4,1,IF('Análisis de Riesgos'!E747='Tablas AR'!$B$5,2,IF('Análisis de Riesgos'!E747='Tablas AR'!$B$6,3,"")))</f>
        <v/>
      </c>
      <c r="G747" s="25"/>
      <c r="H747" s="26" t="str">
        <f>IF(G747='Tablas AR'!$B$10,1,IF('Análisis de Riesgos'!G747='Tablas AR'!$B$11,2,IF('Análisis de Riesgos'!G747='Tablas AR'!$B$12,3,"")))</f>
        <v/>
      </c>
      <c r="I747" s="26" t="str">
        <f t="shared" si="11"/>
        <v/>
      </c>
    </row>
    <row r="748" spans="2:9" x14ac:dyDescent="0.25">
      <c r="B748" s="27" t="str">
        <f>IFERROR(INDEX(Activos!$B$3:$C$16, MATCH(C748,Activos!$B$3:$B$16),2),"")</f>
        <v/>
      </c>
      <c r="C748" s="27"/>
      <c r="D748" s="27"/>
      <c r="E748" s="25"/>
      <c r="F748" s="26" t="str">
        <f>IF(E748='Tablas AR'!$B$4,1,IF('Análisis de Riesgos'!E748='Tablas AR'!$B$5,2,IF('Análisis de Riesgos'!E748='Tablas AR'!$B$6,3,"")))</f>
        <v/>
      </c>
      <c r="G748" s="25"/>
      <c r="H748" s="26" t="str">
        <f>IF(G748='Tablas AR'!$B$10,1,IF('Análisis de Riesgos'!G748='Tablas AR'!$B$11,2,IF('Análisis de Riesgos'!G748='Tablas AR'!$B$12,3,"")))</f>
        <v/>
      </c>
      <c r="I748" s="26" t="str">
        <f t="shared" si="11"/>
        <v/>
      </c>
    </row>
    <row r="749" spans="2:9" x14ac:dyDescent="0.25">
      <c r="B749" s="27" t="str">
        <f>IFERROR(INDEX(Activos!$B$3:$C$16, MATCH(C749,Activos!$B$3:$B$16),2),"")</f>
        <v/>
      </c>
      <c r="C749" s="27"/>
      <c r="D749" s="27"/>
      <c r="E749" s="25"/>
      <c r="F749" s="26" t="str">
        <f>IF(E749='Tablas AR'!$B$4,1,IF('Análisis de Riesgos'!E749='Tablas AR'!$B$5,2,IF('Análisis de Riesgos'!E749='Tablas AR'!$B$6,3,"")))</f>
        <v/>
      </c>
      <c r="G749" s="25"/>
      <c r="H749" s="26" t="str">
        <f>IF(G749='Tablas AR'!$B$10,1,IF('Análisis de Riesgos'!G749='Tablas AR'!$B$11,2,IF('Análisis de Riesgos'!G749='Tablas AR'!$B$12,3,"")))</f>
        <v/>
      </c>
      <c r="I749" s="26" t="str">
        <f t="shared" si="11"/>
        <v/>
      </c>
    </row>
    <row r="750" spans="2:9" x14ac:dyDescent="0.25">
      <c r="B750" s="27" t="str">
        <f>IFERROR(INDEX(Activos!$B$3:$C$16, MATCH(C750,Activos!$B$3:$B$16),2),"")</f>
        <v/>
      </c>
      <c r="C750" s="27"/>
      <c r="D750" s="27"/>
      <c r="E750" s="25"/>
      <c r="F750" s="26" t="str">
        <f>IF(E750='Tablas AR'!$B$4,1,IF('Análisis de Riesgos'!E750='Tablas AR'!$B$5,2,IF('Análisis de Riesgos'!E750='Tablas AR'!$B$6,3,"")))</f>
        <v/>
      </c>
      <c r="G750" s="25"/>
      <c r="H750" s="26" t="str">
        <f>IF(G750='Tablas AR'!$B$10,1,IF('Análisis de Riesgos'!G750='Tablas AR'!$B$11,2,IF('Análisis de Riesgos'!G750='Tablas AR'!$B$12,3,"")))</f>
        <v/>
      </c>
      <c r="I750" s="26" t="str">
        <f t="shared" si="11"/>
        <v/>
      </c>
    </row>
    <row r="751" spans="2:9" x14ac:dyDescent="0.25">
      <c r="B751" s="27" t="str">
        <f>IFERROR(INDEX(Activos!$B$3:$C$16, MATCH(C751,Activos!$B$3:$B$16),2),"")</f>
        <v/>
      </c>
      <c r="C751" s="27"/>
      <c r="D751" s="27"/>
      <c r="E751" s="25"/>
      <c r="F751" s="26" t="str">
        <f>IF(E751='Tablas AR'!$B$4,1,IF('Análisis de Riesgos'!E751='Tablas AR'!$B$5,2,IF('Análisis de Riesgos'!E751='Tablas AR'!$B$6,3,"")))</f>
        <v/>
      </c>
      <c r="G751" s="25"/>
      <c r="H751" s="26" t="str">
        <f>IF(G751='Tablas AR'!$B$10,1,IF('Análisis de Riesgos'!G751='Tablas AR'!$B$11,2,IF('Análisis de Riesgos'!G751='Tablas AR'!$B$12,3,"")))</f>
        <v/>
      </c>
      <c r="I751" s="26" t="str">
        <f t="shared" si="11"/>
        <v/>
      </c>
    </row>
    <row r="752" spans="2:9" x14ac:dyDescent="0.25">
      <c r="B752" s="27" t="str">
        <f>IFERROR(INDEX(Activos!$B$3:$C$16, MATCH(C752,Activos!$B$3:$B$16),2),"")</f>
        <v/>
      </c>
      <c r="C752" s="27"/>
      <c r="D752" s="27"/>
      <c r="E752" s="25"/>
      <c r="F752" s="26" t="str">
        <f>IF(E752='Tablas AR'!$B$4,1,IF('Análisis de Riesgos'!E752='Tablas AR'!$B$5,2,IF('Análisis de Riesgos'!E752='Tablas AR'!$B$6,3,"")))</f>
        <v/>
      </c>
      <c r="G752" s="25"/>
      <c r="H752" s="26" t="str">
        <f>IF(G752='Tablas AR'!$B$10,1,IF('Análisis de Riesgos'!G752='Tablas AR'!$B$11,2,IF('Análisis de Riesgos'!G752='Tablas AR'!$B$12,3,"")))</f>
        <v/>
      </c>
      <c r="I752" s="26" t="str">
        <f t="shared" si="11"/>
        <v/>
      </c>
    </row>
    <row r="753" spans="2:9" x14ac:dyDescent="0.25">
      <c r="B753" s="27" t="str">
        <f>IFERROR(INDEX(Activos!$B$3:$C$16, MATCH(C753,Activos!$B$3:$B$16),2),"")</f>
        <v/>
      </c>
      <c r="C753" s="27"/>
      <c r="D753" s="27"/>
      <c r="E753" s="25"/>
      <c r="F753" s="26" t="str">
        <f>IF(E753='Tablas AR'!$B$4,1,IF('Análisis de Riesgos'!E753='Tablas AR'!$B$5,2,IF('Análisis de Riesgos'!E753='Tablas AR'!$B$6,3,"")))</f>
        <v/>
      </c>
      <c r="G753" s="25"/>
      <c r="H753" s="26" t="str">
        <f>IF(G753='Tablas AR'!$B$10,1,IF('Análisis de Riesgos'!G753='Tablas AR'!$B$11,2,IF('Análisis de Riesgos'!G753='Tablas AR'!$B$12,3,"")))</f>
        <v/>
      </c>
      <c r="I753" s="26" t="str">
        <f t="shared" si="11"/>
        <v/>
      </c>
    </row>
    <row r="754" spans="2:9" x14ac:dyDescent="0.25">
      <c r="B754" s="27" t="str">
        <f>IFERROR(INDEX(Activos!$B$3:$C$16, MATCH(C754,Activos!$B$3:$B$16),2),"")</f>
        <v/>
      </c>
      <c r="C754" s="27"/>
      <c r="D754" s="27"/>
      <c r="E754" s="25"/>
      <c r="F754" s="26" t="str">
        <f>IF(E754='Tablas AR'!$B$4,1,IF('Análisis de Riesgos'!E754='Tablas AR'!$B$5,2,IF('Análisis de Riesgos'!E754='Tablas AR'!$B$6,3,"")))</f>
        <v/>
      </c>
      <c r="G754" s="25"/>
      <c r="H754" s="26" t="str">
        <f>IF(G754='Tablas AR'!$B$10,1,IF('Análisis de Riesgos'!G754='Tablas AR'!$B$11,2,IF('Análisis de Riesgos'!G754='Tablas AR'!$B$12,3,"")))</f>
        <v/>
      </c>
      <c r="I754" s="26" t="str">
        <f t="shared" si="11"/>
        <v/>
      </c>
    </row>
    <row r="755" spans="2:9" x14ac:dyDescent="0.25">
      <c r="B755" s="27" t="str">
        <f>IFERROR(INDEX(Activos!$B$3:$C$16, MATCH(C755,Activos!$B$3:$B$16),2),"")</f>
        <v/>
      </c>
      <c r="C755" s="27"/>
      <c r="D755" s="27"/>
      <c r="E755" s="25"/>
      <c r="F755" s="26" t="str">
        <f>IF(E755='Tablas AR'!$B$4,1,IF('Análisis de Riesgos'!E755='Tablas AR'!$B$5,2,IF('Análisis de Riesgos'!E755='Tablas AR'!$B$6,3,"")))</f>
        <v/>
      </c>
      <c r="G755" s="25"/>
      <c r="H755" s="26" t="str">
        <f>IF(G755='Tablas AR'!$B$10,1,IF('Análisis de Riesgos'!G755='Tablas AR'!$B$11,2,IF('Análisis de Riesgos'!G755='Tablas AR'!$B$12,3,"")))</f>
        <v/>
      </c>
      <c r="I755" s="26" t="str">
        <f t="shared" si="11"/>
        <v/>
      </c>
    </row>
    <row r="756" spans="2:9" x14ac:dyDescent="0.25">
      <c r="B756" s="27" t="str">
        <f>IFERROR(INDEX(Activos!$B$3:$C$16, MATCH(C756,Activos!$B$3:$B$16),2),"")</f>
        <v/>
      </c>
      <c r="C756" s="27"/>
      <c r="D756" s="27"/>
      <c r="E756" s="25"/>
      <c r="F756" s="26" t="str">
        <f>IF(E756='Tablas AR'!$B$4,1,IF('Análisis de Riesgos'!E756='Tablas AR'!$B$5,2,IF('Análisis de Riesgos'!E756='Tablas AR'!$B$6,3,"")))</f>
        <v/>
      </c>
      <c r="G756" s="25"/>
      <c r="H756" s="26" t="str">
        <f>IF(G756='Tablas AR'!$B$10,1,IF('Análisis de Riesgos'!G756='Tablas AR'!$B$11,2,IF('Análisis de Riesgos'!G756='Tablas AR'!$B$12,3,"")))</f>
        <v/>
      </c>
      <c r="I756" s="26" t="str">
        <f t="shared" si="11"/>
        <v/>
      </c>
    </row>
    <row r="757" spans="2:9" x14ac:dyDescent="0.25">
      <c r="B757" s="27" t="str">
        <f>IFERROR(INDEX(Activos!$B$3:$C$16, MATCH(C757,Activos!$B$3:$B$16),2),"")</f>
        <v/>
      </c>
      <c r="C757" s="27"/>
      <c r="D757" s="27"/>
      <c r="E757" s="25"/>
      <c r="F757" s="26" t="str">
        <f>IF(E757='Tablas AR'!$B$4,1,IF('Análisis de Riesgos'!E757='Tablas AR'!$B$5,2,IF('Análisis de Riesgos'!E757='Tablas AR'!$B$6,3,"")))</f>
        <v/>
      </c>
      <c r="G757" s="25"/>
      <c r="H757" s="26" t="str">
        <f>IF(G757='Tablas AR'!$B$10,1,IF('Análisis de Riesgos'!G757='Tablas AR'!$B$11,2,IF('Análisis de Riesgos'!G757='Tablas AR'!$B$12,3,"")))</f>
        <v/>
      </c>
      <c r="I757" s="26" t="str">
        <f t="shared" si="11"/>
        <v/>
      </c>
    </row>
    <row r="758" spans="2:9" x14ac:dyDescent="0.25">
      <c r="B758" s="27" t="str">
        <f>IFERROR(INDEX(Activos!$B$3:$C$16, MATCH(C758,Activos!$B$3:$B$16),2),"")</f>
        <v/>
      </c>
      <c r="C758" s="27"/>
      <c r="D758" s="27"/>
      <c r="E758" s="25"/>
      <c r="F758" s="26" t="str">
        <f>IF(E758='Tablas AR'!$B$4,1,IF('Análisis de Riesgos'!E758='Tablas AR'!$B$5,2,IF('Análisis de Riesgos'!E758='Tablas AR'!$B$6,3,"")))</f>
        <v/>
      </c>
      <c r="G758" s="25"/>
      <c r="H758" s="26" t="str">
        <f>IF(G758='Tablas AR'!$B$10,1,IF('Análisis de Riesgos'!G758='Tablas AR'!$B$11,2,IF('Análisis de Riesgos'!G758='Tablas AR'!$B$12,3,"")))</f>
        <v/>
      </c>
      <c r="I758" s="26" t="str">
        <f t="shared" si="11"/>
        <v/>
      </c>
    </row>
    <row r="759" spans="2:9" x14ac:dyDescent="0.25">
      <c r="B759" s="27" t="str">
        <f>IFERROR(INDEX(Activos!$B$3:$C$16, MATCH(C759,Activos!$B$3:$B$16),2),"")</f>
        <v/>
      </c>
      <c r="C759" s="27"/>
      <c r="D759" s="27"/>
      <c r="E759" s="25"/>
      <c r="F759" s="26" t="str">
        <f>IF(E759='Tablas AR'!$B$4,1,IF('Análisis de Riesgos'!E759='Tablas AR'!$B$5,2,IF('Análisis de Riesgos'!E759='Tablas AR'!$B$6,3,"")))</f>
        <v/>
      </c>
      <c r="G759" s="25"/>
      <c r="H759" s="26" t="str">
        <f>IF(G759='Tablas AR'!$B$10,1,IF('Análisis de Riesgos'!G759='Tablas AR'!$B$11,2,IF('Análisis de Riesgos'!G759='Tablas AR'!$B$12,3,"")))</f>
        <v/>
      </c>
      <c r="I759" s="26" t="str">
        <f t="shared" si="11"/>
        <v/>
      </c>
    </row>
    <row r="760" spans="2:9" x14ac:dyDescent="0.25">
      <c r="B760" s="27" t="str">
        <f>IFERROR(INDEX(Activos!$B$3:$C$16, MATCH(C760,Activos!$B$3:$B$16),2),"")</f>
        <v/>
      </c>
      <c r="C760" s="27"/>
      <c r="D760" s="27"/>
      <c r="E760" s="25"/>
      <c r="F760" s="26" t="str">
        <f>IF(E760='Tablas AR'!$B$4,1,IF('Análisis de Riesgos'!E760='Tablas AR'!$B$5,2,IF('Análisis de Riesgos'!E760='Tablas AR'!$B$6,3,"")))</f>
        <v/>
      </c>
      <c r="G760" s="25"/>
      <c r="H760" s="26" t="str">
        <f>IF(G760='Tablas AR'!$B$10,1,IF('Análisis de Riesgos'!G760='Tablas AR'!$B$11,2,IF('Análisis de Riesgos'!G760='Tablas AR'!$B$12,3,"")))</f>
        <v/>
      </c>
      <c r="I760" s="26" t="str">
        <f t="shared" si="11"/>
        <v/>
      </c>
    </row>
    <row r="761" spans="2:9" x14ac:dyDescent="0.25">
      <c r="B761" s="27" t="str">
        <f>IFERROR(INDEX(Activos!$B$3:$C$16, MATCH(C761,Activos!$B$3:$B$16),2),"")</f>
        <v/>
      </c>
      <c r="C761" s="27"/>
      <c r="D761" s="27"/>
      <c r="E761" s="25"/>
      <c r="F761" s="26" t="str">
        <f>IF(E761='Tablas AR'!$B$4,1,IF('Análisis de Riesgos'!E761='Tablas AR'!$B$5,2,IF('Análisis de Riesgos'!E761='Tablas AR'!$B$6,3,"")))</f>
        <v/>
      </c>
      <c r="G761" s="25"/>
      <c r="H761" s="26" t="str">
        <f>IF(G761='Tablas AR'!$B$10,1,IF('Análisis de Riesgos'!G761='Tablas AR'!$B$11,2,IF('Análisis de Riesgos'!G761='Tablas AR'!$B$12,3,"")))</f>
        <v/>
      </c>
      <c r="I761" s="26" t="str">
        <f t="shared" si="11"/>
        <v/>
      </c>
    </row>
    <row r="762" spans="2:9" x14ac:dyDescent="0.25">
      <c r="B762" s="27" t="str">
        <f>IFERROR(INDEX(Activos!$B$3:$C$16, MATCH(C762,Activos!$B$3:$B$16),2),"")</f>
        <v/>
      </c>
      <c r="C762" s="27"/>
      <c r="D762" s="27"/>
      <c r="E762" s="25"/>
      <c r="F762" s="26" t="str">
        <f>IF(E762='Tablas AR'!$B$4,1,IF('Análisis de Riesgos'!E762='Tablas AR'!$B$5,2,IF('Análisis de Riesgos'!E762='Tablas AR'!$B$6,3,"")))</f>
        <v/>
      </c>
      <c r="G762" s="25"/>
      <c r="H762" s="26" t="str">
        <f>IF(G762='Tablas AR'!$B$10,1,IF('Análisis de Riesgos'!G762='Tablas AR'!$B$11,2,IF('Análisis de Riesgos'!G762='Tablas AR'!$B$12,3,"")))</f>
        <v/>
      </c>
      <c r="I762" s="26" t="str">
        <f t="shared" si="11"/>
        <v/>
      </c>
    </row>
    <row r="763" spans="2:9" x14ac:dyDescent="0.25">
      <c r="B763" s="27" t="str">
        <f>IFERROR(INDEX(Activos!$B$3:$C$16, MATCH(C763,Activos!$B$3:$B$16),2),"")</f>
        <v/>
      </c>
      <c r="C763" s="27"/>
      <c r="D763" s="27"/>
      <c r="E763" s="25"/>
      <c r="F763" s="26" t="str">
        <f>IF(E763='Tablas AR'!$B$4,1,IF('Análisis de Riesgos'!E763='Tablas AR'!$B$5,2,IF('Análisis de Riesgos'!E763='Tablas AR'!$B$6,3,"")))</f>
        <v/>
      </c>
      <c r="G763" s="25"/>
      <c r="H763" s="26" t="str">
        <f>IF(G763='Tablas AR'!$B$10,1,IF('Análisis de Riesgos'!G763='Tablas AR'!$B$11,2,IF('Análisis de Riesgos'!G763='Tablas AR'!$B$12,3,"")))</f>
        <v/>
      </c>
      <c r="I763" s="26" t="str">
        <f t="shared" si="11"/>
        <v/>
      </c>
    </row>
    <row r="764" spans="2:9" x14ac:dyDescent="0.25">
      <c r="B764" s="27" t="str">
        <f>IFERROR(INDEX(Activos!$B$3:$C$16, MATCH(C764,Activos!$B$3:$B$16),2),"")</f>
        <v/>
      </c>
      <c r="C764" s="27"/>
      <c r="D764" s="27"/>
      <c r="E764" s="25"/>
      <c r="F764" s="26" t="str">
        <f>IF(E764='Tablas AR'!$B$4,1,IF('Análisis de Riesgos'!E764='Tablas AR'!$B$5,2,IF('Análisis de Riesgos'!E764='Tablas AR'!$B$6,3,"")))</f>
        <v/>
      </c>
      <c r="G764" s="25"/>
      <c r="H764" s="26" t="str">
        <f>IF(G764='Tablas AR'!$B$10,1,IF('Análisis de Riesgos'!G764='Tablas AR'!$B$11,2,IF('Análisis de Riesgos'!G764='Tablas AR'!$B$12,3,"")))</f>
        <v/>
      </c>
      <c r="I764" s="26" t="str">
        <f t="shared" si="11"/>
        <v/>
      </c>
    </row>
    <row r="765" spans="2:9" x14ac:dyDescent="0.25">
      <c r="B765" s="27" t="str">
        <f>IFERROR(INDEX(Activos!$B$3:$C$16, MATCH(C765,Activos!$B$3:$B$16),2),"")</f>
        <v/>
      </c>
      <c r="C765" s="27"/>
      <c r="D765" s="27"/>
      <c r="E765" s="25"/>
      <c r="F765" s="26" t="str">
        <f>IF(E765='Tablas AR'!$B$4,1,IF('Análisis de Riesgos'!E765='Tablas AR'!$B$5,2,IF('Análisis de Riesgos'!E765='Tablas AR'!$B$6,3,"")))</f>
        <v/>
      </c>
      <c r="G765" s="25"/>
      <c r="H765" s="26" t="str">
        <f>IF(G765='Tablas AR'!$B$10,1,IF('Análisis de Riesgos'!G765='Tablas AR'!$B$11,2,IF('Análisis de Riesgos'!G765='Tablas AR'!$B$12,3,"")))</f>
        <v/>
      </c>
      <c r="I765" s="26" t="str">
        <f t="shared" si="11"/>
        <v/>
      </c>
    </row>
    <row r="766" spans="2:9" x14ac:dyDescent="0.25">
      <c r="B766" s="27" t="str">
        <f>IFERROR(INDEX(Activos!$B$3:$C$16, MATCH(C766,Activos!$B$3:$B$16),2),"")</f>
        <v/>
      </c>
      <c r="C766" s="27"/>
      <c r="D766" s="27"/>
      <c r="E766" s="25"/>
      <c r="F766" s="26" t="str">
        <f>IF(E766='Tablas AR'!$B$4,1,IF('Análisis de Riesgos'!E766='Tablas AR'!$B$5,2,IF('Análisis de Riesgos'!E766='Tablas AR'!$B$6,3,"")))</f>
        <v/>
      </c>
      <c r="G766" s="25"/>
      <c r="H766" s="26" t="str">
        <f>IF(G766='Tablas AR'!$B$10,1,IF('Análisis de Riesgos'!G766='Tablas AR'!$B$11,2,IF('Análisis de Riesgos'!G766='Tablas AR'!$B$12,3,"")))</f>
        <v/>
      </c>
      <c r="I766" s="26" t="str">
        <f t="shared" si="11"/>
        <v/>
      </c>
    </row>
    <row r="767" spans="2:9" x14ac:dyDescent="0.25">
      <c r="B767" s="27" t="str">
        <f>IFERROR(INDEX(Activos!$B$3:$C$16, MATCH(C767,Activos!$B$3:$B$16),2),"")</f>
        <v/>
      </c>
      <c r="C767" s="27"/>
      <c r="D767" s="27"/>
      <c r="E767" s="25"/>
      <c r="F767" s="26" t="str">
        <f>IF(E767='Tablas AR'!$B$4,1,IF('Análisis de Riesgos'!E767='Tablas AR'!$B$5,2,IF('Análisis de Riesgos'!E767='Tablas AR'!$B$6,3,"")))</f>
        <v/>
      </c>
      <c r="G767" s="25"/>
      <c r="H767" s="26" t="str">
        <f>IF(G767='Tablas AR'!$B$10,1,IF('Análisis de Riesgos'!G767='Tablas AR'!$B$11,2,IF('Análisis de Riesgos'!G767='Tablas AR'!$B$12,3,"")))</f>
        <v/>
      </c>
      <c r="I767" s="26" t="str">
        <f t="shared" si="11"/>
        <v/>
      </c>
    </row>
    <row r="768" spans="2:9" x14ac:dyDescent="0.25">
      <c r="B768" s="27" t="str">
        <f>IFERROR(INDEX(Activos!$B$3:$C$16, MATCH(C768,Activos!$B$3:$B$16),2),"")</f>
        <v/>
      </c>
      <c r="C768" s="27"/>
      <c r="D768" s="27"/>
      <c r="E768" s="25"/>
      <c r="F768" s="26" t="str">
        <f>IF(E768='Tablas AR'!$B$4,1,IF('Análisis de Riesgos'!E768='Tablas AR'!$B$5,2,IF('Análisis de Riesgos'!E768='Tablas AR'!$B$6,3,"")))</f>
        <v/>
      </c>
      <c r="G768" s="25"/>
      <c r="H768" s="26" t="str">
        <f>IF(G768='Tablas AR'!$B$10,1,IF('Análisis de Riesgos'!G768='Tablas AR'!$B$11,2,IF('Análisis de Riesgos'!G768='Tablas AR'!$B$12,3,"")))</f>
        <v/>
      </c>
      <c r="I768" s="26" t="str">
        <f t="shared" si="11"/>
        <v/>
      </c>
    </row>
    <row r="769" spans="2:9" x14ac:dyDescent="0.25">
      <c r="B769" s="27" t="str">
        <f>IFERROR(INDEX(Activos!$B$3:$C$16, MATCH(C769,Activos!$B$3:$B$16),2),"")</f>
        <v/>
      </c>
      <c r="C769" s="27"/>
      <c r="D769" s="27"/>
      <c r="E769" s="25"/>
      <c r="F769" s="26" t="str">
        <f>IF(E769='Tablas AR'!$B$4,1,IF('Análisis de Riesgos'!E769='Tablas AR'!$B$5,2,IF('Análisis de Riesgos'!E769='Tablas AR'!$B$6,3,"")))</f>
        <v/>
      </c>
      <c r="G769" s="25"/>
      <c r="H769" s="26" t="str">
        <f>IF(G769='Tablas AR'!$B$10,1,IF('Análisis de Riesgos'!G769='Tablas AR'!$B$11,2,IF('Análisis de Riesgos'!G769='Tablas AR'!$B$12,3,"")))</f>
        <v/>
      </c>
      <c r="I769" s="26" t="str">
        <f t="shared" si="11"/>
        <v/>
      </c>
    </row>
    <row r="770" spans="2:9" x14ac:dyDescent="0.25">
      <c r="B770" s="27" t="str">
        <f>IFERROR(INDEX(Activos!$B$3:$C$16, MATCH(C770,Activos!$B$3:$B$16),2),"")</f>
        <v/>
      </c>
      <c r="C770" s="27"/>
      <c r="D770" s="27"/>
      <c r="E770" s="25"/>
      <c r="F770" s="26" t="str">
        <f>IF(E770='Tablas AR'!$B$4,1,IF('Análisis de Riesgos'!E770='Tablas AR'!$B$5,2,IF('Análisis de Riesgos'!E770='Tablas AR'!$B$6,3,"")))</f>
        <v/>
      </c>
      <c r="G770" s="25"/>
      <c r="H770" s="26" t="str">
        <f>IF(G770='Tablas AR'!$B$10,1,IF('Análisis de Riesgos'!G770='Tablas AR'!$B$11,2,IF('Análisis de Riesgos'!G770='Tablas AR'!$B$12,3,"")))</f>
        <v/>
      </c>
      <c r="I770" s="26" t="str">
        <f t="shared" si="11"/>
        <v/>
      </c>
    </row>
    <row r="771" spans="2:9" x14ac:dyDescent="0.25">
      <c r="B771" s="27" t="str">
        <f>IFERROR(INDEX(Activos!$B$3:$C$16, MATCH(C771,Activos!$B$3:$B$16),2),"")</f>
        <v/>
      </c>
      <c r="C771" s="27"/>
      <c r="D771" s="27"/>
      <c r="E771" s="25"/>
      <c r="F771" s="26" t="str">
        <f>IF(E771='Tablas AR'!$B$4,1,IF('Análisis de Riesgos'!E771='Tablas AR'!$B$5,2,IF('Análisis de Riesgos'!E771='Tablas AR'!$B$6,3,"")))</f>
        <v/>
      </c>
      <c r="G771" s="25"/>
      <c r="H771" s="26" t="str">
        <f>IF(G771='Tablas AR'!$B$10,1,IF('Análisis de Riesgos'!G771='Tablas AR'!$B$11,2,IF('Análisis de Riesgos'!G771='Tablas AR'!$B$12,3,"")))</f>
        <v/>
      </c>
      <c r="I771" s="26" t="str">
        <f t="shared" si="11"/>
        <v/>
      </c>
    </row>
    <row r="772" spans="2:9" x14ac:dyDescent="0.25">
      <c r="B772" s="27" t="str">
        <f>IFERROR(INDEX(Activos!$B$3:$C$16, MATCH(C772,Activos!$B$3:$B$16),2),"")</f>
        <v/>
      </c>
      <c r="C772" s="27"/>
      <c r="D772" s="27"/>
      <c r="E772" s="25"/>
      <c r="F772" s="26" t="str">
        <f>IF(E772='Tablas AR'!$B$4,1,IF('Análisis de Riesgos'!E772='Tablas AR'!$B$5,2,IF('Análisis de Riesgos'!E772='Tablas AR'!$B$6,3,"")))</f>
        <v/>
      </c>
      <c r="G772" s="25"/>
      <c r="H772" s="26" t="str">
        <f>IF(G772='Tablas AR'!$B$10,1,IF('Análisis de Riesgos'!G772='Tablas AR'!$B$11,2,IF('Análisis de Riesgos'!G772='Tablas AR'!$B$12,3,"")))</f>
        <v/>
      </c>
      <c r="I772" s="26" t="str">
        <f t="shared" ref="I772:I835" si="12" xml:space="preserve"> IFERROR(F772*H772,"")</f>
        <v/>
      </c>
    </row>
    <row r="773" spans="2:9" x14ac:dyDescent="0.25">
      <c r="B773" s="27" t="str">
        <f>IFERROR(INDEX(Activos!$B$3:$C$16, MATCH(C773,Activos!$B$3:$B$16),2),"")</f>
        <v/>
      </c>
      <c r="C773" s="27"/>
      <c r="D773" s="27"/>
      <c r="E773" s="25"/>
      <c r="F773" s="26" t="str">
        <f>IF(E773='Tablas AR'!$B$4,1,IF('Análisis de Riesgos'!E773='Tablas AR'!$B$5,2,IF('Análisis de Riesgos'!E773='Tablas AR'!$B$6,3,"")))</f>
        <v/>
      </c>
      <c r="G773" s="25"/>
      <c r="H773" s="26" t="str">
        <f>IF(G773='Tablas AR'!$B$10,1,IF('Análisis de Riesgos'!G773='Tablas AR'!$B$11,2,IF('Análisis de Riesgos'!G773='Tablas AR'!$B$12,3,"")))</f>
        <v/>
      </c>
      <c r="I773" s="26" t="str">
        <f t="shared" si="12"/>
        <v/>
      </c>
    </row>
    <row r="774" spans="2:9" x14ac:dyDescent="0.25">
      <c r="B774" s="27" t="str">
        <f>IFERROR(INDEX(Activos!$B$3:$C$16, MATCH(C774,Activos!$B$3:$B$16),2),"")</f>
        <v/>
      </c>
      <c r="C774" s="27"/>
      <c r="D774" s="27"/>
      <c r="E774" s="25"/>
      <c r="F774" s="26" t="str">
        <f>IF(E774='Tablas AR'!$B$4,1,IF('Análisis de Riesgos'!E774='Tablas AR'!$B$5,2,IF('Análisis de Riesgos'!E774='Tablas AR'!$B$6,3,"")))</f>
        <v/>
      </c>
      <c r="G774" s="25"/>
      <c r="H774" s="26" t="str">
        <f>IF(G774='Tablas AR'!$B$10,1,IF('Análisis de Riesgos'!G774='Tablas AR'!$B$11,2,IF('Análisis de Riesgos'!G774='Tablas AR'!$B$12,3,"")))</f>
        <v/>
      </c>
      <c r="I774" s="26" t="str">
        <f t="shared" si="12"/>
        <v/>
      </c>
    </row>
    <row r="775" spans="2:9" x14ac:dyDescent="0.25">
      <c r="B775" s="27" t="str">
        <f>IFERROR(INDEX(Activos!$B$3:$C$16, MATCH(C775,Activos!$B$3:$B$16),2),"")</f>
        <v/>
      </c>
      <c r="C775" s="27"/>
      <c r="D775" s="27"/>
      <c r="E775" s="25"/>
      <c r="F775" s="26" t="str">
        <f>IF(E775='Tablas AR'!$B$4,1,IF('Análisis de Riesgos'!E775='Tablas AR'!$B$5,2,IF('Análisis de Riesgos'!E775='Tablas AR'!$B$6,3,"")))</f>
        <v/>
      </c>
      <c r="G775" s="25"/>
      <c r="H775" s="26" t="str">
        <f>IF(G775='Tablas AR'!$B$10,1,IF('Análisis de Riesgos'!G775='Tablas AR'!$B$11,2,IF('Análisis de Riesgos'!G775='Tablas AR'!$B$12,3,"")))</f>
        <v/>
      </c>
      <c r="I775" s="26" t="str">
        <f t="shared" si="12"/>
        <v/>
      </c>
    </row>
    <row r="776" spans="2:9" x14ac:dyDescent="0.25">
      <c r="B776" s="27" t="str">
        <f>IFERROR(INDEX(Activos!$B$3:$C$16, MATCH(C776,Activos!$B$3:$B$16),2),"")</f>
        <v/>
      </c>
      <c r="C776" s="27"/>
      <c r="D776" s="27"/>
      <c r="E776" s="25"/>
      <c r="F776" s="26" t="str">
        <f>IF(E776='Tablas AR'!$B$4,1,IF('Análisis de Riesgos'!E776='Tablas AR'!$B$5,2,IF('Análisis de Riesgos'!E776='Tablas AR'!$B$6,3,"")))</f>
        <v/>
      </c>
      <c r="G776" s="25"/>
      <c r="H776" s="26" t="str">
        <f>IF(G776='Tablas AR'!$B$10,1,IF('Análisis de Riesgos'!G776='Tablas AR'!$B$11,2,IF('Análisis de Riesgos'!G776='Tablas AR'!$B$12,3,"")))</f>
        <v/>
      </c>
      <c r="I776" s="26" t="str">
        <f t="shared" si="12"/>
        <v/>
      </c>
    </row>
    <row r="777" spans="2:9" x14ac:dyDescent="0.25">
      <c r="B777" s="27" t="str">
        <f>IFERROR(INDEX(Activos!$B$3:$C$16, MATCH(C777,Activos!$B$3:$B$16),2),"")</f>
        <v/>
      </c>
      <c r="C777" s="27"/>
      <c r="D777" s="27"/>
      <c r="E777" s="25"/>
      <c r="F777" s="26" t="str">
        <f>IF(E777='Tablas AR'!$B$4,1,IF('Análisis de Riesgos'!E777='Tablas AR'!$B$5,2,IF('Análisis de Riesgos'!E777='Tablas AR'!$B$6,3,"")))</f>
        <v/>
      </c>
      <c r="G777" s="25"/>
      <c r="H777" s="26" t="str">
        <f>IF(G777='Tablas AR'!$B$10,1,IF('Análisis de Riesgos'!G777='Tablas AR'!$B$11,2,IF('Análisis de Riesgos'!G777='Tablas AR'!$B$12,3,"")))</f>
        <v/>
      </c>
      <c r="I777" s="26" t="str">
        <f t="shared" si="12"/>
        <v/>
      </c>
    </row>
    <row r="778" spans="2:9" x14ac:dyDescent="0.25">
      <c r="B778" s="27" t="str">
        <f>IFERROR(INDEX(Activos!$B$3:$C$16, MATCH(C778,Activos!$B$3:$B$16),2),"")</f>
        <v/>
      </c>
      <c r="C778" s="27"/>
      <c r="D778" s="27"/>
      <c r="E778" s="25"/>
      <c r="F778" s="26" t="str">
        <f>IF(E778='Tablas AR'!$B$4,1,IF('Análisis de Riesgos'!E778='Tablas AR'!$B$5,2,IF('Análisis de Riesgos'!E778='Tablas AR'!$B$6,3,"")))</f>
        <v/>
      </c>
      <c r="G778" s="25"/>
      <c r="H778" s="26" t="str">
        <f>IF(G778='Tablas AR'!$B$10,1,IF('Análisis de Riesgos'!G778='Tablas AR'!$B$11,2,IF('Análisis de Riesgos'!G778='Tablas AR'!$B$12,3,"")))</f>
        <v/>
      </c>
      <c r="I778" s="26" t="str">
        <f t="shared" si="12"/>
        <v/>
      </c>
    </row>
    <row r="779" spans="2:9" x14ac:dyDescent="0.25">
      <c r="B779" s="27" t="str">
        <f>IFERROR(INDEX(Activos!$B$3:$C$16, MATCH(C779,Activos!$B$3:$B$16),2),"")</f>
        <v/>
      </c>
      <c r="C779" s="27"/>
      <c r="D779" s="27"/>
      <c r="E779" s="25"/>
      <c r="F779" s="26" t="str">
        <f>IF(E779='Tablas AR'!$B$4,1,IF('Análisis de Riesgos'!E779='Tablas AR'!$B$5,2,IF('Análisis de Riesgos'!E779='Tablas AR'!$B$6,3,"")))</f>
        <v/>
      </c>
      <c r="G779" s="25"/>
      <c r="H779" s="26" t="str">
        <f>IF(G779='Tablas AR'!$B$10,1,IF('Análisis de Riesgos'!G779='Tablas AR'!$B$11,2,IF('Análisis de Riesgos'!G779='Tablas AR'!$B$12,3,"")))</f>
        <v/>
      </c>
      <c r="I779" s="26" t="str">
        <f t="shared" si="12"/>
        <v/>
      </c>
    </row>
    <row r="780" spans="2:9" x14ac:dyDescent="0.25">
      <c r="B780" s="27" t="str">
        <f>IFERROR(INDEX(Activos!$B$3:$C$16, MATCH(C780,Activos!$B$3:$B$16),2),"")</f>
        <v/>
      </c>
      <c r="C780" s="27"/>
      <c r="D780" s="27"/>
      <c r="E780" s="25"/>
      <c r="F780" s="26" t="str">
        <f>IF(E780='Tablas AR'!$B$4,1,IF('Análisis de Riesgos'!E780='Tablas AR'!$B$5,2,IF('Análisis de Riesgos'!E780='Tablas AR'!$B$6,3,"")))</f>
        <v/>
      </c>
      <c r="G780" s="25"/>
      <c r="H780" s="26" t="str">
        <f>IF(G780='Tablas AR'!$B$10,1,IF('Análisis de Riesgos'!G780='Tablas AR'!$B$11,2,IF('Análisis de Riesgos'!G780='Tablas AR'!$B$12,3,"")))</f>
        <v/>
      </c>
      <c r="I780" s="26" t="str">
        <f t="shared" si="12"/>
        <v/>
      </c>
    </row>
    <row r="781" spans="2:9" x14ac:dyDescent="0.25">
      <c r="B781" s="27" t="str">
        <f>IFERROR(INDEX(Activos!$B$3:$C$16, MATCH(C781,Activos!$B$3:$B$16),2),"")</f>
        <v/>
      </c>
      <c r="C781" s="27"/>
      <c r="D781" s="27"/>
      <c r="E781" s="25"/>
      <c r="F781" s="26" t="str">
        <f>IF(E781='Tablas AR'!$B$4,1,IF('Análisis de Riesgos'!E781='Tablas AR'!$B$5,2,IF('Análisis de Riesgos'!E781='Tablas AR'!$B$6,3,"")))</f>
        <v/>
      </c>
      <c r="G781" s="25"/>
      <c r="H781" s="26" t="str">
        <f>IF(G781='Tablas AR'!$B$10,1,IF('Análisis de Riesgos'!G781='Tablas AR'!$B$11,2,IF('Análisis de Riesgos'!G781='Tablas AR'!$B$12,3,"")))</f>
        <v/>
      </c>
      <c r="I781" s="26" t="str">
        <f t="shared" si="12"/>
        <v/>
      </c>
    </row>
    <row r="782" spans="2:9" x14ac:dyDescent="0.25">
      <c r="B782" s="27" t="str">
        <f>IFERROR(INDEX(Activos!$B$3:$C$16, MATCH(C782,Activos!$B$3:$B$16),2),"")</f>
        <v/>
      </c>
      <c r="C782" s="27"/>
      <c r="D782" s="27"/>
      <c r="E782" s="25"/>
      <c r="F782" s="26" t="str">
        <f>IF(E782='Tablas AR'!$B$4,1,IF('Análisis de Riesgos'!E782='Tablas AR'!$B$5,2,IF('Análisis de Riesgos'!E782='Tablas AR'!$B$6,3,"")))</f>
        <v/>
      </c>
      <c r="G782" s="25"/>
      <c r="H782" s="26" t="str">
        <f>IF(G782='Tablas AR'!$B$10,1,IF('Análisis de Riesgos'!G782='Tablas AR'!$B$11,2,IF('Análisis de Riesgos'!G782='Tablas AR'!$B$12,3,"")))</f>
        <v/>
      </c>
      <c r="I782" s="26" t="str">
        <f t="shared" si="12"/>
        <v/>
      </c>
    </row>
    <row r="783" spans="2:9" x14ac:dyDescent="0.25">
      <c r="B783" s="27" t="str">
        <f>IFERROR(INDEX(Activos!$B$3:$C$16, MATCH(C783,Activos!$B$3:$B$16),2),"")</f>
        <v/>
      </c>
      <c r="C783" s="27"/>
      <c r="D783" s="27"/>
      <c r="E783" s="25"/>
      <c r="F783" s="26" t="str">
        <f>IF(E783='Tablas AR'!$B$4,1,IF('Análisis de Riesgos'!E783='Tablas AR'!$B$5,2,IF('Análisis de Riesgos'!E783='Tablas AR'!$B$6,3,"")))</f>
        <v/>
      </c>
      <c r="G783" s="25"/>
      <c r="H783" s="26" t="str">
        <f>IF(G783='Tablas AR'!$B$10,1,IF('Análisis de Riesgos'!G783='Tablas AR'!$B$11,2,IF('Análisis de Riesgos'!G783='Tablas AR'!$B$12,3,"")))</f>
        <v/>
      </c>
      <c r="I783" s="26" t="str">
        <f t="shared" si="12"/>
        <v/>
      </c>
    </row>
    <row r="784" spans="2:9" x14ac:dyDescent="0.25">
      <c r="B784" s="27" t="str">
        <f>IFERROR(INDEX(Activos!$B$3:$C$16, MATCH(C784,Activos!$B$3:$B$16),2),"")</f>
        <v/>
      </c>
      <c r="C784" s="27"/>
      <c r="D784" s="27"/>
      <c r="E784" s="25"/>
      <c r="F784" s="26" t="str">
        <f>IF(E784='Tablas AR'!$B$4,1,IF('Análisis de Riesgos'!E784='Tablas AR'!$B$5,2,IF('Análisis de Riesgos'!E784='Tablas AR'!$B$6,3,"")))</f>
        <v/>
      </c>
      <c r="G784" s="25"/>
      <c r="H784" s="26" t="str">
        <f>IF(G784='Tablas AR'!$B$10,1,IF('Análisis de Riesgos'!G784='Tablas AR'!$B$11,2,IF('Análisis de Riesgos'!G784='Tablas AR'!$B$12,3,"")))</f>
        <v/>
      </c>
      <c r="I784" s="26" t="str">
        <f t="shared" si="12"/>
        <v/>
      </c>
    </row>
    <row r="785" spans="2:9" x14ac:dyDescent="0.25">
      <c r="B785" s="27" t="str">
        <f>IFERROR(INDEX(Activos!$B$3:$C$16, MATCH(C785,Activos!$B$3:$B$16),2),"")</f>
        <v/>
      </c>
      <c r="C785" s="27"/>
      <c r="D785" s="27"/>
      <c r="E785" s="25"/>
      <c r="F785" s="26" t="str">
        <f>IF(E785='Tablas AR'!$B$4,1,IF('Análisis de Riesgos'!E785='Tablas AR'!$B$5,2,IF('Análisis de Riesgos'!E785='Tablas AR'!$B$6,3,"")))</f>
        <v/>
      </c>
      <c r="G785" s="25"/>
      <c r="H785" s="26" t="str">
        <f>IF(G785='Tablas AR'!$B$10,1,IF('Análisis de Riesgos'!G785='Tablas AR'!$B$11,2,IF('Análisis de Riesgos'!G785='Tablas AR'!$B$12,3,"")))</f>
        <v/>
      </c>
      <c r="I785" s="26" t="str">
        <f t="shared" si="12"/>
        <v/>
      </c>
    </row>
    <row r="786" spans="2:9" x14ac:dyDescent="0.25">
      <c r="B786" s="27" t="str">
        <f>IFERROR(INDEX(Activos!$B$3:$C$16, MATCH(C786,Activos!$B$3:$B$16),2),"")</f>
        <v/>
      </c>
      <c r="C786" s="27"/>
      <c r="D786" s="27"/>
      <c r="E786" s="25"/>
      <c r="F786" s="26" t="str">
        <f>IF(E786='Tablas AR'!$B$4,1,IF('Análisis de Riesgos'!E786='Tablas AR'!$B$5,2,IF('Análisis de Riesgos'!E786='Tablas AR'!$B$6,3,"")))</f>
        <v/>
      </c>
      <c r="G786" s="25"/>
      <c r="H786" s="26" t="str">
        <f>IF(G786='Tablas AR'!$B$10,1,IF('Análisis de Riesgos'!G786='Tablas AR'!$B$11,2,IF('Análisis de Riesgos'!G786='Tablas AR'!$B$12,3,"")))</f>
        <v/>
      </c>
      <c r="I786" s="26" t="str">
        <f t="shared" si="12"/>
        <v/>
      </c>
    </row>
    <row r="787" spans="2:9" x14ac:dyDescent="0.25">
      <c r="B787" s="27" t="str">
        <f>IFERROR(INDEX(Activos!$B$3:$C$16, MATCH(C787,Activos!$B$3:$B$16),2),"")</f>
        <v/>
      </c>
      <c r="C787" s="27"/>
      <c r="D787" s="27"/>
      <c r="E787" s="25"/>
      <c r="F787" s="26" t="str">
        <f>IF(E787='Tablas AR'!$B$4,1,IF('Análisis de Riesgos'!E787='Tablas AR'!$B$5,2,IF('Análisis de Riesgos'!E787='Tablas AR'!$B$6,3,"")))</f>
        <v/>
      </c>
      <c r="G787" s="25"/>
      <c r="H787" s="26" t="str">
        <f>IF(G787='Tablas AR'!$B$10,1,IF('Análisis de Riesgos'!G787='Tablas AR'!$B$11,2,IF('Análisis de Riesgos'!G787='Tablas AR'!$B$12,3,"")))</f>
        <v/>
      </c>
      <c r="I787" s="26" t="str">
        <f t="shared" si="12"/>
        <v/>
      </c>
    </row>
    <row r="788" spans="2:9" x14ac:dyDescent="0.25">
      <c r="B788" s="27" t="str">
        <f>IFERROR(INDEX(Activos!$B$3:$C$16, MATCH(C788,Activos!$B$3:$B$16),2),"")</f>
        <v/>
      </c>
      <c r="C788" s="27"/>
      <c r="D788" s="27"/>
      <c r="E788" s="25"/>
      <c r="F788" s="26" t="str">
        <f>IF(E788='Tablas AR'!$B$4,1,IF('Análisis de Riesgos'!E788='Tablas AR'!$B$5,2,IF('Análisis de Riesgos'!E788='Tablas AR'!$B$6,3,"")))</f>
        <v/>
      </c>
      <c r="G788" s="25"/>
      <c r="H788" s="26" t="str">
        <f>IF(G788='Tablas AR'!$B$10,1,IF('Análisis de Riesgos'!G788='Tablas AR'!$B$11,2,IF('Análisis de Riesgos'!G788='Tablas AR'!$B$12,3,"")))</f>
        <v/>
      </c>
      <c r="I788" s="26" t="str">
        <f t="shared" si="12"/>
        <v/>
      </c>
    </row>
    <row r="789" spans="2:9" x14ac:dyDescent="0.25">
      <c r="B789" s="27" t="str">
        <f>IFERROR(INDEX(Activos!$B$3:$C$16, MATCH(C789,Activos!$B$3:$B$16),2),"")</f>
        <v/>
      </c>
      <c r="C789" s="27"/>
      <c r="D789" s="27"/>
      <c r="E789" s="25"/>
      <c r="F789" s="26" t="str">
        <f>IF(E789='Tablas AR'!$B$4,1,IF('Análisis de Riesgos'!E789='Tablas AR'!$B$5,2,IF('Análisis de Riesgos'!E789='Tablas AR'!$B$6,3,"")))</f>
        <v/>
      </c>
      <c r="G789" s="25"/>
      <c r="H789" s="26" t="str">
        <f>IF(G789='Tablas AR'!$B$10,1,IF('Análisis de Riesgos'!G789='Tablas AR'!$B$11,2,IF('Análisis de Riesgos'!G789='Tablas AR'!$B$12,3,"")))</f>
        <v/>
      </c>
      <c r="I789" s="26" t="str">
        <f t="shared" si="12"/>
        <v/>
      </c>
    </row>
    <row r="790" spans="2:9" x14ac:dyDescent="0.25">
      <c r="B790" s="27" t="str">
        <f>IFERROR(INDEX(Activos!$B$3:$C$16, MATCH(C790,Activos!$B$3:$B$16),2),"")</f>
        <v/>
      </c>
      <c r="C790" s="27"/>
      <c r="D790" s="27"/>
      <c r="E790" s="25"/>
      <c r="F790" s="26" t="str">
        <f>IF(E790='Tablas AR'!$B$4,1,IF('Análisis de Riesgos'!E790='Tablas AR'!$B$5,2,IF('Análisis de Riesgos'!E790='Tablas AR'!$B$6,3,"")))</f>
        <v/>
      </c>
      <c r="G790" s="25"/>
      <c r="H790" s="26" t="str">
        <f>IF(G790='Tablas AR'!$B$10,1,IF('Análisis de Riesgos'!G790='Tablas AR'!$B$11,2,IF('Análisis de Riesgos'!G790='Tablas AR'!$B$12,3,"")))</f>
        <v/>
      </c>
      <c r="I790" s="26" t="str">
        <f t="shared" si="12"/>
        <v/>
      </c>
    </row>
    <row r="791" spans="2:9" x14ac:dyDescent="0.25">
      <c r="B791" s="27" t="str">
        <f>IFERROR(INDEX(Activos!$B$3:$C$16, MATCH(C791,Activos!$B$3:$B$16),2),"")</f>
        <v/>
      </c>
      <c r="C791" s="27"/>
      <c r="D791" s="27"/>
      <c r="E791" s="25"/>
      <c r="F791" s="26" t="str">
        <f>IF(E791='Tablas AR'!$B$4,1,IF('Análisis de Riesgos'!E791='Tablas AR'!$B$5,2,IF('Análisis de Riesgos'!E791='Tablas AR'!$B$6,3,"")))</f>
        <v/>
      </c>
      <c r="G791" s="25"/>
      <c r="H791" s="26" t="str">
        <f>IF(G791='Tablas AR'!$B$10,1,IF('Análisis de Riesgos'!G791='Tablas AR'!$B$11,2,IF('Análisis de Riesgos'!G791='Tablas AR'!$B$12,3,"")))</f>
        <v/>
      </c>
      <c r="I791" s="26" t="str">
        <f t="shared" si="12"/>
        <v/>
      </c>
    </row>
    <row r="792" spans="2:9" x14ac:dyDescent="0.25">
      <c r="B792" s="27" t="str">
        <f>IFERROR(INDEX(Activos!$B$3:$C$16, MATCH(C792,Activos!$B$3:$B$16),2),"")</f>
        <v/>
      </c>
      <c r="C792" s="27"/>
      <c r="D792" s="27"/>
      <c r="E792" s="25"/>
      <c r="F792" s="26" t="str">
        <f>IF(E792='Tablas AR'!$B$4,1,IF('Análisis de Riesgos'!E792='Tablas AR'!$B$5,2,IF('Análisis de Riesgos'!E792='Tablas AR'!$B$6,3,"")))</f>
        <v/>
      </c>
      <c r="G792" s="25"/>
      <c r="H792" s="26" t="str">
        <f>IF(G792='Tablas AR'!$B$10,1,IF('Análisis de Riesgos'!G792='Tablas AR'!$B$11,2,IF('Análisis de Riesgos'!G792='Tablas AR'!$B$12,3,"")))</f>
        <v/>
      </c>
      <c r="I792" s="26" t="str">
        <f t="shared" si="12"/>
        <v/>
      </c>
    </row>
    <row r="793" spans="2:9" x14ac:dyDescent="0.25">
      <c r="B793" s="27" t="str">
        <f>IFERROR(INDEX(Activos!$B$3:$C$16, MATCH(C793,Activos!$B$3:$B$16),2),"")</f>
        <v/>
      </c>
      <c r="C793" s="27"/>
      <c r="D793" s="27"/>
      <c r="E793" s="25"/>
      <c r="F793" s="26" t="str">
        <f>IF(E793='Tablas AR'!$B$4,1,IF('Análisis de Riesgos'!E793='Tablas AR'!$B$5,2,IF('Análisis de Riesgos'!E793='Tablas AR'!$B$6,3,"")))</f>
        <v/>
      </c>
      <c r="G793" s="25"/>
      <c r="H793" s="26" t="str">
        <f>IF(G793='Tablas AR'!$B$10,1,IF('Análisis de Riesgos'!G793='Tablas AR'!$B$11,2,IF('Análisis de Riesgos'!G793='Tablas AR'!$B$12,3,"")))</f>
        <v/>
      </c>
      <c r="I793" s="26" t="str">
        <f t="shared" si="12"/>
        <v/>
      </c>
    </row>
    <row r="794" spans="2:9" x14ac:dyDescent="0.25">
      <c r="B794" s="27" t="str">
        <f>IFERROR(INDEX(Activos!$B$3:$C$16, MATCH(C794,Activos!$B$3:$B$16),2),"")</f>
        <v/>
      </c>
      <c r="C794" s="27"/>
      <c r="D794" s="27"/>
      <c r="E794" s="25"/>
      <c r="F794" s="26" t="str">
        <f>IF(E794='Tablas AR'!$B$4,1,IF('Análisis de Riesgos'!E794='Tablas AR'!$B$5,2,IF('Análisis de Riesgos'!E794='Tablas AR'!$B$6,3,"")))</f>
        <v/>
      </c>
      <c r="G794" s="25"/>
      <c r="H794" s="26" t="str">
        <f>IF(G794='Tablas AR'!$B$10,1,IF('Análisis de Riesgos'!G794='Tablas AR'!$B$11,2,IF('Análisis de Riesgos'!G794='Tablas AR'!$B$12,3,"")))</f>
        <v/>
      </c>
      <c r="I794" s="26" t="str">
        <f t="shared" si="12"/>
        <v/>
      </c>
    </row>
    <row r="795" spans="2:9" x14ac:dyDescent="0.25">
      <c r="B795" s="27" t="str">
        <f>IFERROR(INDEX(Activos!$B$3:$C$16, MATCH(C795,Activos!$B$3:$B$16),2),"")</f>
        <v/>
      </c>
      <c r="C795" s="27"/>
      <c r="D795" s="27"/>
      <c r="E795" s="25"/>
      <c r="F795" s="26" t="str">
        <f>IF(E795='Tablas AR'!$B$4,1,IF('Análisis de Riesgos'!E795='Tablas AR'!$B$5,2,IF('Análisis de Riesgos'!E795='Tablas AR'!$B$6,3,"")))</f>
        <v/>
      </c>
      <c r="G795" s="25"/>
      <c r="H795" s="26" t="str">
        <f>IF(G795='Tablas AR'!$B$10,1,IF('Análisis de Riesgos'!G795='Tablas AR'!$B$11,2,IF('Análisis de Riesgos'!G795='Tablas AR'!$B$12,3,"")))</f>
        <v/>
      </c>
      <c r="I795" s="26" t="str">
        <f t="shared" si="12"/>
        <v/>
      </c>
    </row>
    <row r="796" spans="2:9" x14ac:dyDescent="0.25">
      <c r="B796" s="27" t="str">
        <f>IFERROR(INDEX(Activos!$B$3:$C$16, MATCH(C796,Activos!$B$3:$B$16),2),"")</f>
        <v/>
      </c>
      <c r="C796" s="27"/>
      <c r="D796" s="27"/>
      <c r="E796" s="25"/>
      <c r="F796" s="26" t="str">
        <f>IF(E796='Tablas AR'!$B$4,1,IF('Análisis de Riesgos'!E796='Tablas AR'!$B$5,2,IF('Análisis de Riesgos'!E796='Tablas AR'!$B$6,3,"")))</f>
        <v/>
      </c>
      <c r="G796" s="25"/>
      <c r="H796" s="26" t="str">
        <f>IF(G796='Tablas AR'!$B$10,1,IF('Análisis de Riesgos'!G796='Tablas AR'!$B$11,2,IF('Análisis de Riesgos'!G796='Tablas AR'!$B$12,3,"")))</f>
        <v/>
      </c>
      <c r="I796" s="26" t="str">
        <f t="shared" si="12"/>
        <v/>
      </c>
    </row>
    <row r="797" spans="2:9" x14ac:dyDescent="0.25">
      <c r="B797" s="27" t="str">
        <f>IFERROR(INDEX(Activos!$B$3:$C$16, MATCH(C797,Activos!$B$3:$B$16),2),"")</f>
        <v/>
      </c>
      <c r="C797" s="27"/>
      <c r="D797" s="27"/>
      <c r="E797" s="25"/>
      <c r="F797" s="26" t="str">
        <f>IF(E797='Tablas AR'!$B$4,1,IF('Análisis de Riesgos'!E797='Tablas AR'!$B$5,2,IF('Análisis de Riesgos'!E797='Tablas AR'!$B$6,3,"")))</f>
        <v/>
      </c>
      <c r="G797" s="25"/>
      <c r="H797" s="26" t="str">
        <f>IF(G797='Tablas AR'!$B$10,1,IF('Análisis de Riesgos'!G797='Tablas AR'!$B$11,2,IF('Análisis de Riesgos'!G797='Tablas AR'!$B$12,3,"")))</f>
        <v/>
      </c>
      <c r="I797" s="26" t="str">
        <f t="shared" si="12"/>
        <v/>
      </c>
    </row>
    <row r="798" spans="2:9" x14ac:dyDescent="0.25">
      <c r="B798" s="27" t="str">
        <f>IFERROR(INDEX(Activos!$B$3:$C$16, MATCH(C798,Activos!$B$3:$B$16),2),"")</f>
        <v/>
      </c>
      <c r="C798" s="27"/>
      <c r="D798" s="27"/>
      <c r="E798" s="25"/>
      <c r="F798" s="26" t="str">
        <f>IF(E798='Tablas AR'!$B$4,1,IF('Análisis de Riesgos'!E798='Tablas AR'!$B$5,2,IF('Análisis de Riesgos'!E798='Tablas AR'!$B$6,3,"")))</f>
        <v/>
      </c>
      <c r="G798" s="25"/>
      <c r="H798" s="26" t="str">
        <f>IF(G798='Tablas AR'!$B$10,1,IF('Análisis de Riesgos'!G798='Tablas AR'!$B$11,2,IF('Análisis de Riesgos'!G798='Tablas AR'!$B$12,3,"")))</f>
        <v/>
      </c>
      <c r="I798" s="26" t="str">
        <f t="shared" si="12"/>
        <v/>
      </c>
    </row>
    <row r="799" spans="2:9" x14ac:dyDescent="0.25">
      <c r="B799" s="27" t="str">
        <f>IFERROR(INDEX(Activos!$B$3:$C$16, MATCH(C799,Activos!$B$3:$B$16),2),"")</f>
        <v/>
      </c>
      <c r="C799" s="27"/>
      <c r="D799" s="27"/>
      <c r="E799" s="25"/>
      <c r="F799" s="26" t="str">
        <f>IF(E799='Tablas AR'!$B$4,1,IF('Análisis de Riesgos'!E799='Tablas AR'!$B$5,2,IF('Análisis de Riesgos'!E799='Tablas AR'!$B$6,3,"")))</f>
        <v/>
      </c>
      <c r="G799" s="25"/>
      <c r="H799" s="26" t="str">
        <f>IF(G799='Tablas AR'!$B$10,1,IF('Análisis de Riesgos'!G799='Tablas AR'!$B$11,2,IF('Análisis de Riesgos'!G799='Tablas AR'!$B$12,3,"")))</f>
        <v/>
      </c>
      <c r="I799" s="26" t="str">
        <f t="shared" si="12"/>
        <v/>
      </c>
    </row>
    <row r="800" spans="2:9" x14ac:dyDescent="0.25">
      <c r="B800" s="27" t="str">
        <f>IFERROR(INDEX(Activos!$B$3:$C$16, MATCH(C800,Activos!$B$3:$B$16),2),"")</f>
        <v/>
      </c>
      <c r="C800" s="27"/>
      <c r="D800" s="27"/>
      <c r="E800" s="25"/>
      <c r="F800" s="26" t="str">
        <f>IF(E800='Tablas AR'!$B$4,1,IF('Análisis de Riesgos'!E800='Tablas AR'!$B$5,2,IF('Análisis de Riesgos'!E800='Tablas AR'!$B$6,3,"")))</f>
        <v/>
      </c>
      <c r="G800" s="25"/>
      <c r="H800" s="26" t="str">
        <f>IF(G800='Tablas AR'!$B$10,1,IF('Análisis de Riesgos'!G800='Tablas AR'!$B$11,2,IF('Análisis de Riesgos'!G800='Tablas AR'!$B$12,3,"")))</f>
        <v/>
      </c>
      <c r="I800" s="26" t="str">
        <f t="shared" si="12"/>
        <v/>
      </c>
    </row>
    <row r="801" spans="2:9" x14ac:dyDescent="0.25">
      <c r="B801" s="27" t="str">
        <f>IFERROR(INDEX(Activos!$B$3:$C$16, MATCH(C801,Activos!$B$3:$B$16),2),"")</f>
        <v/>
      </c>
      <c r="C801" s="27"/>
      <c r="D801" s="27"/>
      <c r="E801" s="25"/>
      <c r="F801" s="26" t="str">
        <f>IF(E801='Tablas AR'!$B$4,1,IF('Análisis de Riesgos'!E801='Tablas AR'!$B$5,2,IF('Análisis de Riesgos'!E801='Tablas AR'!$B$6,3,"")))</f>
        <v/>
      </c>
      <c r="G801" s="25"/>
      <c r="H801" s="26" t="str">
        <f>IF(G801='Tablas AR'!$B$10,1,IF('Análisis de Riesgos'!G801='Tablas AR'!$B$11,2,IF('Análisis de Riesgos'!G801='Tablas AR'!$B$12,3,"")))</f>
        <v/>
      </c>
      <c r="I801" s="26" t="str">
        <f t="shared" si="12"/>
        <v/>
      </c>
    </row>
    <row r="802" spans="2:9" x14ac:dyDescent="0.25">
      <c r="B802" s="27" t="str">
        <f>IFERROR(INDEX(Activos!$B$3:$C$16, MATCH(C802,Activos!$B$3:$B$16),2),"")</f>
        <v/>
      </c>
      <c r="C802" s="27"/>
      <c r="D802" s="27"/>
      <c r="E802" s="25"/>
      <c r="F802" s="26" t="str">
        <f>IF(E802='Tablas AR'!$B$4,1,IF('Análisis de Riesgos'!E802='Tablas AR'!$B$5,2,IF('Análisis de Riesgos'!E802='Tablas AR'!$B$6,3,"")))</f>
        <v/>
      </c>
      <c r="G802" s="25"/>
      <c r="H802" s="26" t="str">
        <f>IF(G802='Tablas AR'!$B$10,1,IF('Análisis de Riesgos'!G802='Tablas AR'!$B$11,2,IF('Análisis de Riesgos'!G802='Tablas AR'!$B$12,3,"")))</f>
        <v/>
      </c>
      <c r="I802" s="26" t="str">
        <f t="shared" si="12"/>
        <v/>
      </c>
    </row>
    <row r="803" spans="2:9" x14ac:dyDescent="0.25">
      <c r="B803" s="27" t="str">
        <f>IFERROR(INDEX(Activos!$B$3:$C$16, MATCH(C803,Activos!$B$3:$B$16),2),"")</f>
        <v/>
      </c>
      <c r="C803" s="27"/>
      <c r="D803" s="27"/>
      <c r="E803" s="25"/>
      <c r="F803" s="26" t="str">
        <f>IF(E803='Tablas AR'!$B$4,1,IF('Análisis de Riesgos'!E803='Tablas AR'!$B$5,2,IF('Análisis de Riesgos'!E803='Tablas AR'!$B$6,3,"")))</f>
        <v/>
      </c>
      <c r="G803" s="25"/>
      <c r="H803" s="26" t="str">
        <f>IF(G803='Tablas AR'!$B$10,1,IF('Análisis de Riesgos'!G803='Tablas AR'!$B$11,2,IF('Análisis de Riesgos'!G803='Tablas AR'!$B$12,3,"")))</f>
        <v/>
      </c>
      <c r="I803" s="26" t="str">
        <f t="shared" si="12"/>
        <v/>
      </c>
    </row>
    <row r="804" spans="2:9" x14ac:dyDescent="0.25">
      <c r="B804" s="27" t="str">
        <f>IFERROR(INDEX(Activos!$B$3:$C$16, MATCH(C804,Activos!$B$3:$B$16),2),"")</f>
        <v/>
      </c>
      <c r="C804" s="27"/>
      <c r="D804" s="27"/>
      <c r="E804" s="25"/>
      <c r="F804" s="26" t="str">
        <f>IF(E804='Tablas AR'!$B$4,1,IF('Análisis de Riesgos'!E804='Tablas AR'!$B$5,2,IF('Análisis de Riesgos'!E804='Tablas AR'!$B$6,3,"")))</f>
        <v/>
      </c>
      <c r="G804" s="25"/>
      <c r="H804" s="26" t="str">
        <f>IF(G804='Tablas AR'!$B$10,1,IF('Análisis de Riesgos'!G804='Tablas AR'!$B$11,2,IF('Análisis de Riesgos'!G804='Tablas AR'!$B$12,3,"")))</f>
        <v/>
      </c>
      <c r="I804" s="26" t="str">
        <f t="shared" si="12"/>
        <v/>
      </c>
    </row>
    <row r="805" spans="2:9" x14ac:dyDescent="0.25">
      <c r="B805" s="27" t="str">
        <f>IFERROR(INDEX(Activos!$B$3:$C$16, MATCH(C805,Activos!$B$3:$B$16),2),"")</f>
        <v/>
      </c>
      <c r="C805" s="27"/>
      <c r="D805" s="27"/>
      <c r="E805" s="25"/>
      <c r="F805" s="26" t="str">
        <f>IF(E805='Tablas AR'!$B$4,1,IF('Análisis de Riesgos'!E805='Tablas AR'!$B$5,2,IF('Análisis de Riesgos'!E805='Tablas AR'!$B$6,3,"")))</f>
        <v/>
      </c>
      <c r="G805" s="25"/>
      <c r="H805" s="26" t="str">
        <f>IF(G805='Tablas AR'!$B$10,1,IF('Análisis de Riesgos'!G805='Tablas AR'!$B$11,2,IF('Análisis de Riesgos'!G805='Tablas AR'!$B$12,3,"")))</f>
        <v/>
      </c>
      <c r="I805" s="26" t="str">
        <f t="shared" si="12"/>
        <v/>
      </c>
    </row>
    <row r="806" spans="2:9" x14ac:dyDescent="0.25">
      <c r="B806" s="27" t="str">
        <f>IFERROR(INDEX(Activos!$B$3:$C$16, MATCH(C806,Activos!$B$3:$B$16),2),"")</f>
        <v/>
      </c>
      <c r="C806" s="27"/>
      <c r="D806" s="27"/>
      <c r="E806" s="25"/>
      <c r="F806" s="26" t="str">
        <f>IF(E806='Tablas AR'!$B$4,1,IF('Análisis de Riesgos'!E806='Tablas AR'!$B$5,2,IF('Análisis de Riesgos'!E806='Tablas AR'!$B$6,3,"")))</f>
        <v/>
      </c>
      <c r="G806" s="25"/>
      <c r="H806" s="26" t="str">
        <f>IF(G806='Tablas AR'!$B$10,1,IF('Análisis de Riesgos'!G806='Tablas AR'!$B$11,2,IF('Análisis de Riesgos'!G806='Tablas AR'!$B$12,3,"")))</f>
        <v/>
      </c>
      <c r="I806" s="26" t="str">
        <f t="shared" si="12"/>
        <v/>
      </c>
    </row>
    <row r="807" spans="2:9" x14ac:dyDescent="0.25">
      <c r="B807" s="27" t="str">
        <f>IFERROR(INDEX(Activos!$B$3:$C$16, MATCH(C807,Activos!$B$3:$B$16),2),"")</f>
        <v/>
      </c>
      <c r="C807" s="27"/>
      <c r="D807" s="27"/>
      <c r="E807" s="25"/>
      <c r="F807" s="26" t="str">
        <f>IF(E807='Tablas AR'!$B$4,1,IF('Análisis de Riesgos'!E807='Tablas AR'!$B$5,2,IF('Análisis de Riesgos'!E807='Tablas AR'!$B$6,3,"")))</f>
        <v/>
      </c>
      <c r="G807" s="25"/>
      <c r="H807" s="26" t="str">
        <f>IF(G807='Tablas AR'!$B$10,1,IF('Análisis de Riesgos'!G807='Tablas AR'!$B$11,2,IF('Análisis de Riesgos'!G807='Tablas AR'!$B$12,3,"")))</f>
        <v/>
      </c>
      <c r="I807" s="26" t="str">
        <f t="shared" si="12"/>
        <v/>
      </c>
    </row>
    <row r="808" spans="2:9" x14ac:dyDescent="0.25">
      <c r="B808" s="27" t="str">
        <f>IFERROR(INDEX(Activos!$B$3:$C$16, MATCH(C808,Activos!$B$3:$B$16),2),"")</f>
        <v/>
      </c>
      <c r="C808" s="27"/>
      <c r="D808" s="27"/>
      <c r="E808" s="25"/>
      <c r="F808" s="26" t="str">
        <f>IF(E808='Tablas AR'!$B$4,1,IF('Análisis de Riesgos'!E808='Tablas AR'!$B$5,2,IF('Análisis de Riesgos'!E808='Tablas AR'!$B$6,3,"")))</f>
        <v/>
      </c>
      <c r="G808" s="25"/>
      <c r="H808" s="26" t="str">
        <f>IF(G808='Tablas AR'!$B$10,1,IF('Análisis de Riesgos'!G808='Tablas AR'!$B$11,2,IF('Análisis de Riesgos'!G808='Tablas AR'!$B$12,3,"")))</f>
        <v/>
      </c>
      <c r="I808" s="26" t="str">
        <f t="shared" si="12"/>
        <v/>
      </c>
    </row>
    <row r="809" spans="2:9" x14ac:dyDescent="0.25">
      <c r="B809" s="27" t="str">
        <f>IFERROR(INDEX(Activos!$B$3:$C$16, MATCH(C809,Activos!$B$3:$B$16),2),"")</f>
        <v/>
      </c>
      <c r="C809" s="27"/>
      <c r="D809" s="27"/>
      <c r="E809" s="25"/>
      <c r="F809" s="26" t="str">
        <f>IF(E809='Tablas AR'!$B$4,1,IF('Análisis de Riesgos'!E809='Tablas AR'!$B$5,2,IF('Análisis de Riesgos'!E809='Tablas AR'!$B$6,3,"")))</f>
        <v/>
      </c>
      <c r="G809" s="25"/>
      <c r="H809" s="26" t="str">
        <f>IF(G809='Tablas AR'!$B$10,1,IF('Análisis de Riesgos'!G809='Tablas AR'!$B$11,2,IF('Análisis de Riesgos'!G809='Tablas AR'!$B$12,3,"")))</f>
        <v/>
      </c>
      <c r="I809" s="26" t="str">
        <f t="shared" si="12"/>
        <v/>
      </c>
    </row>
    <row r="810" spans="2:9" x14ac:dyDescent="0.25">
      <c r="B810" s="27" t="str">
        <f>IFERROR(INDEX(Activos!$B$3:$C$16, MATCH(C810,Activos!$B$3:$B$16),2),"")</f>
        <v/>
      </c>
      <c r="C810" s="27"/>
      <c r="D810" s="27"/>
      <c r="E810" s="25"/>
      <c r="F810" s="26" t="str">
        <f>IF(E810='Tablas AR'!$B$4,1,IF('Análisis de Riesgos'!E810='Tablas AR'!$B$5,2,IF('Análisis de Riesgos'!E810='Tablas AR'!$B$6,3,"")))</f>
        <v/>
      </c>
      <c r="G810" s="25"/>
      <c r="H810" s="26" t="str">
        <f>IF(G810='Tablas AR'!$B$10,1,IF('Análisis de Riesgos'!G810='Tablas AR'!$B$11,2,IF('Análisis de Riesgos'!G810='Tablas AR'!$B$12,3,"")))</f>
        <v/>
      </c>
      <c r="I810" s="26" t="str">
        <f t="shared" si="12"/>
        <v/>
      </c>
    </row>
    <row r="811" spans="2:9" x14ac:dyDescent="0.25">
      <c r="B811" s="27" t="str">
        <f>IFERROR(INDEX(Activos!$B$3:$C$16, MATCH(C811,Activos!$B$3:$B$16),2),"")</f>
        <v/>
      </c>
      <c r="C811" s="27"/>
      <c r="D811" s="27"/>
      <c r="E811" s="25"/>
      <c r="F811" s="26" t="str">
        <f>IF(E811='Tablas AR'!$B$4,1,IF('Análisis de Riesgos'!E811='Tablas AR'!$B$5,2,IF('Análisis de Riesgos'!E811='Tablas AR'!$B$6,3,"")))</f>
        <v/>
      </c>
      <c r="G811" s="25"/>
      <c r="H811" s="26" t="str">
        <f>IF(G811='Tablas AR'!$B$10,1,IF('Análisis de Riesgos'!G811='Tablas AR'!$B$11,2,IF('Análisis de Riesgos'!G811='Tablas AR'!$B$12,3,"")))</f>
        <v/>
      </c>
      <c r="I811" s="26" t="str">
        <f t="shared" si="12"/>
        <v/>
      </c>
    </row>
    <row r="812" spans="2:9" x14ac:dyDescent="0.25">
      <c r="B812" s="27" t="str">
        <f>IFERROR(INDEX(Activos!$B$3:$C$16, MATCH(C812,Activos!$B$3:$B$16),2),"")</f>
        <v/>
      </c>
      <c r="C812" s="27"/>
      <c r="D812" s="27"/>
      <c r="E812" s="25"/>
      <c r="F812" s="26" t="str">
        <f>IF(E812='Tablas AR'!$B$4,1,IF('Análisis de Riesgos'!E812='Tablas AR'!$B$5,2,IF('Análisis de Riesgos'!E812='Tablas AR'!$B$6,3,"")))</f>
        <v/>
      </c>
      <c r="G812" s="25"/>
      <c r="H812" s="26" t="str">
        <f>IF(G812='Tablas AR'!$B$10,1,IF('Análisis de Riesgos'!G812='Tablas AR'!$B$11,2,IF('Análisis de Riesgos'!G812='Tablas AR'!$B$12,3,"")))</f>
        <v/>
      </c>
      <c r="I812" s="26" t="str">
        <f t="shared" si="12"/>
        <v/>
      </c>
    </row>
    <row r="813" spans="2:9" x14ac:dyDescent="0.25">
      <c r="B813" s="27" t="str">
        <f>IFERROR(INDEX(Activos!$B$3:$C$16, MATCH(C813,Activos!$B$3:$B$16),2),"")</f>
        <v/>
      </c>
      <c r="C813" s="27"/>
      <c r="D813" s="27"/>
      <c r="E813" s="25"/>
      <c r="F813" s="26" t="str">
        <f>IF(E813='Tablas AR'!$B$4,1,IF('Análisis de Riesgos'!E813='Tablas AR'!$B$5,2,IF('Análisis de Riesgos'!E813='Tablas AR'!$B$6,3,"")))</f>
        <v/>
      </c>
      <c r="G813" s="25"/>
      <c r="H813" s="26" t="str">
        <f>IF(G813='Tablas AR'!$B$10,1,IF('Análisis de Riesgos'!G813='Tablas AR'!$B$11,2,IF('Análisis de Riesgos'!G813='Tablas AR'!$B$12,3,"")))</f>
        <v/>
      </c>
      <c r="I813" s="26" t="str">
        <f t="shared" si="12"/>
        <v/>
      </c>
    </row>
    <row r="814" spans="2:9" x14ac:dyDescent="0.25">
      <c r="B814" s="27" t="str">
        <f>IFERROR(INDEX(Activos!$B$3:$C$16, MATCH(C814,Activos!$B$3:$B$16),2),"")</f>
        <v/>
      </c>
      <c r="C814" s="27"/>
      <c r="D814" s="27"/>
      <c r="E814" s="25"/>
      <c r="F814" s="26" t="str">
        <f>IF(E814='Tablas AR'!$B$4,1,IF('Análisis de Riesgos'!E814='Tablas AR'!$B$5,2,IF('Análisis de Riesgos'!E814='Tablas AR'!$B$6,3,"")))</f>
        <v/>
      </c>
      <c r="G814" s="25"/>
      <c r="H814" s="26" t="str">
        <f>IF(G814='Tablas AR'!$B$10,1,IF('Análisis de Riesgos'!G814='Tablas AR'!$B$11,2,IF('Análisis de Riesgos'!G814='Tablas AR'!$B$12,3,"")))</f>
        <v/>
      </c>
      <c r="I814" s="26" t="str">
        <f t="shared" si="12"/>
        <v/>
      </c>
    </row>
    <row r="815" spans="2:9" x14ac:dyDescent="0.25">
      <c r="B815" s="27" t="str">
        <f>IFERROR(INDEX(Activos!$B$3:$C$16, MATCH(C815,Activos!$B$3:$B$16),2),"")</f>
        <v/>
      </c>
      <c r="C815" s="27"/>
      <c r="D815" s="27"/>
      <c r="E815" s="25"/>
      <c r="F815" s="26" t="str">
        <f>IF(E815='Tablas AR'!$B$4,1,IF('Análisis de Riesgos'!E815='Tablas AR'!$B$5,2,IF('Análisis de Riesgos'!E815='Tablas AR'!$B$6,3,"")))</f>
        <v/>
      </c>
      <c r="G815" s="25"/>
      <c r="H815" s="26" t="str">
        <f>IF(G815='Tablas AR'!$B$10,1,IF('Análisis de Riesgos'!G815='Tablas AR'!$B$11,2,IF('Análisis de Riesgos'!G815='Tablas AR'!$B$12,3,"")))</f>
        <v/>
      </c>
      <c r="I815" s="26" t="str">
        <f t="shared" si="12"/>
        <v/>
      </c>
    </row>
    <row r="816" spans="2:9" x14ac:dyDescent="0.25">
      <c r="B816" s="27" t="str">
        <f>IFERROR(INDEX(Activos!$B$3:$C$16, MATCH(C816,Activos!$B$3:$B$16),2),"")</f>
        <v/>
      </c>
      <c r="C816" s="27"/>
      <c r="D816" s="27"/>
      <c r="E816" s="25"/>
      <c r="F816" s="26" t="str">
        <f>IF(E816='Tablas AR'!$B$4,1,IF('Análisis de Riesgos'!E816='Tablas AR'!$B$5,2,IF('Análisis de Riesgos'!E816='Tablas AR'!$B$6,3,"")))</f>
        <v/>
      </c>
      <c r="G816" s="25"/>
      <c r="H816" s="26" t="str">
        <f>IF(G816='Tablas AR'!$B$10,1,IF('Análisis de Riesgos'!G816='Tablas AR'!$B$11,2,IF('Análisis de Riesgos'!G816='Tablas AR'!$B$12,3,"")))</f>
        <v/>
      </c>
      <c r="I816" s="26" t="str">
        <f t="shared" si="12"/>
        <v/>
      </c>
    </row>
    <row r="817" spans="2:9" x14ac:dyDescent="0.25">
      <c r="B817" s="27" t="str">
        <f>IFERROR(INDEX(Activos!$B$3:$C$16, MATCH(C817,Activos!$B$3:$B$16),2),"")</f>
        <v/>
      </c>
      <c r="C817" s="27"/>
      <c r="D817" s="27"/>
      <c r="E817" s="25"/>
      <c r="F817" s="26" t="str">
        <f>IF(E817='Tablas AR'!$B$4,1,IF('Análisis de Riesgos'!E817='Tablas AR'!$B$5,2,IF('Análisis de Riesgos'!E817='Tablas AR'!$B$6,3,"")))</f>
        <v/>
      </c>
      <c r="G817" s="25"/>
      <c r="H817" s="26" t="str">
        <f>IF(G817='Tablas AR'!$B$10,1,IF('Análisis de Riesgos'!G817='Tablas AR'!$B$11,2,IF('Análisis de Riesgos'!G817='Tablas AR'!$B$12,3,"")))</f>
        <v/>
      </c>
      <c r="I817" s="26" t="str">
        <f t="shared" si="12"/>
        <v/>
      </c>
    </row>
    <row r="818" spans="2:9" x14ac:dyDescent="0.25">
      <c r="B818" s="27" t="str">
        <f>IFERROR(INDEX(Activos!$B$3:$C$16, MATCH(C818,Activos!$B$3:$B$16),2),"")</f>
        <v/>
      </c>
      <c r="C818" s="27"/>
      <c r="D818" s="27"/>
      <c r="E818" s="25"/>
      <c r="F818" s="26" t="str">
        <f>IF(E818='Tablas AR'!$B$4,1,IF('Análisis de Riesgos'!E818='Tablas AR'!$B$5,2,IF('Análisis de Riesgos'!E818='Tablas AR'!$B$6,3,"")))</f>
        <v/>
      </c>
      <c r="G818" s="25"/>
      <c r="H818" s="26" t="str">
        <f>IF(G818='Tablas AR'!$B$10,1,IF('Análisis de Riesgos'!G818='Tablas AR'!$B$11,2,IF('Análisis de Riesgos'!G818='Tablas AR'!$B$12,3,"")))</f>
        <v/>
      </c>
      <c r="I818" s="26" t="str">
        <f t="shared" si="12"/>
        <v/>
      </c>
    </row>
    <row r="819" spans="2:9" x14ac:dyDescent="0.25">
      <c r="B819" s="27" t="str">
        <f>IFERROR(INDEX(Activos!$B$3:$C$16, MATCH(C819,Activos!$B$3:$B$16),2),"")</f>
        <v/>
      </c>
      <c r="C819" s="27"/>
      <c r="D819" s="27"/>
      <c r="E819" s="25"/>
      <c r="F819" s="26" t="str">
        <f>IF(E819='Tablas AR'!$B$4,1,IF('Análisis de Riesgos'!E819='Tablas AR'!$B$5,2,IF('Análisis de Riesgos'!E819='Tablas AR'!$B$6,3,"")))</f>
        <v/>
      </c>
      <c r="G819" s="25"/>
      <c r="H819" s="26" t="str">
        <f>IF(G819='Tablas AR'!$B$10,1,IF('Análisis de Riesgos'!G819='Tablas AR'!$B$11,2,IF('Análisis de Riesgos'!G819='Tablas AR'!$B$12,3,"")))</f>
        <v/>
      </c>
      <c r="I819" s="26" t="str">
        <f t="shared" si="12"/>
        <v/>
      </c>
    </row>
    <row r="820" spans="2:9" x14ac:dyDescent="0.25">
      <c r="B820" s="27" t="str">
        <f>IFERROR(INDEX(Activos!$B$3:$C$16, MATCH(C820,Activos!$B$3:$B$16),2),"")</f>
        <v/>
      </c>
      <c r="C820" s="27"/>
      <c r="D820" s="27"/>
      <c r="E820" s="25"/>
      <c r="F820" s="26" t="str">
        <f>IF(E820='Tablas AR'!$B$4,1,IF('Análisis de Riesgos'!E820='Tablas AR'!$B$5,2,IF('Análisis de Riesgos'!E820='Tablas AR'!$B$6,3,"")))</f>
        <v/>
      </c>
      <c r="G820" s="25"/>
      <c r="H820" s="26" t="str">
        <f>IF(G820='Tablas AR'!$B$10,1,IF('Análisis de Riesgos'!G820='Tablas AR'!$B$11,2,IF('Análisis de Riesgos'!G820='Tablas AR'!$B$12,3,"")))</f>
        <v/>
      </c>
      <c r="I820" s="26" t="str">
        <f t="shared" si="12"/>
        <v/>
      </c>
    </row>
    <row r="821" spans="2:9" x14ac:dyDescent="0.25">
      <c r="B821" s="27" t="str">
        <f>IFERROR(INDEX(Activos!$B$3:$C$16, MATCH(C821,Activos!$B$3:$B$16),2),"")</f>
        <v/>
      </c>
      <c r="C821" s="27"/>
      <c r="D821" s="27"/>
      <c r="E821" s="25"/>
      <c r="F821" s="26" t="str">
        <f>IF(E821='Tablas AR'!$B$4,1,IF('Análisis de Riesgos'!E821='Tablas AR'!$B$5,2,IF('Análisis de Riesgos'!E821='Tablas AR'!$B$6,3,"")))</f>
        <v/>
      </c>
      <c r="G821" s="25"/>
      <c r="H821" s="26" t="str">
        <f>IF(G821='Tablas AR'!$B$10,1,IF('Análisis de Riesgos'!G821='Tablas AR'!$B$11,2,IF('Análisis de Riesgos'!G821='Tablas AR'!$B$12,3,"")))</f>
        <v/>
      </c>
      <c r="I821" s="26" t="str">
        <f t="shared" si="12"/>
        <v/>
      </c>
    </row>
    <row r="822" spans="2:9" x14ac:dyDescent="0.25">
      <c r="B822" s="27" t="str">
        <f>IFERROR(INDEX(Activos!$B$3:$C$16, MATCH(C822,Activos!$B$3:$B$16),2),"")</f>
        <v/>
      </c>
      <c r="C822" s="27"/>
      <c r="D822" s="27"/>
      <c r="E822" s="25"/>
      <c r="F822" s="26" t="str">
        <f>IF(E822='Tablas AR'!$B$4,1,IF('Análisis de Riesgos'!E822='Tablas AR'!$B$5,2,IF('Análisis de Riesgos'!E822='Tablas AR'!$B$6,3,"")))</f>
        <v/>
      </c>
      <c r="G822" s="25"/>
      <c r="H822" s="26" t="str">
        <f>IF(G822='Tablas AR'!$B$10,1,IF('Análisis de Riesgos'!G822='Tablas AR'!$B$11,2,IF('Análisis de Riesgos'!G822='Tablas AR'!$B$12,3,"")))</f>
        <v/>
      </c>
      <c r="I822" s="26" t="str">
        <f t="shared" si="12"/>
        <v/>
      </c>
    </row>
    <row r="823" spans="2:9" x14ac:dyDescent="0.25">
      <c r="B823" s="27" t="str">
        <f>IFERROR(INDEX(Activos!$B$3:$C$16, MATCH(C823,Activos!$B$3:$B$16),2),"")</f>
        <v/>
      </c>
      <c r="C823" s="27"/>
      <c r="D823" s="27"/>
      <c r="E823" s="25"/>
      <c r="F823" s="26" t="str">
        <f>IF(E823='Tablas AR'!$B$4,1,IF('Análisis de Riesgos'!E823='Tablas AR'!$B$5,2,IF('Análisis de Riesgos'!E823='Tablas AR'!$B$6,3,"")))</f>
        <v/>
      </c>
      <c r="G823" s="25"/>
      <c r="H823" s="26" t="str">
        <f>IF(G823='Tablas AR'!$B$10,1,IF('Análisis de Riesgos'!G823='Tablas AR'!$B$11,2,IF('Análisis de Riesgos'!G823='Tablas AR'!$B$12,3,"")))</f>
        <v/>
      </c>
      <c r="I823" s="26" t="str">
        <f t="shared" si="12"/>
        <v/>
      </c>
    </row>
    <row r="824" spans="2:9" x14ac:dyDescent="0.25">
      <c r="B824" s="27" t="str">
        <f>IFERROR(INDEX(Activos!$B$3:$C$16, MATCH(C824,Activos!$B$3:$B$16),2),"")</f>
        <v/>
      </c>
      <c r="C824" s="27"/>
      <c r="D824" s="27"/>
      <c r="E824" s="25"/>
      <c r="F824" s="26" t="str">
        <f>IF(E824='Tablas AR'!$B$4,1,IF('Análisis de Riesgos'!E824='Tablas AR'!$B$5,2,IF('Análisis de Riesgos'!E824='Tablas AR'!$B$6,3,"")))</f>
        <v/>
      </c>
      <c r="G824" s="25"/>
      <c r="H824" s="26" t="str">
        <f>IF(G824='Tablas AR'!$B$10,1,IF('Análisis de Riesgos'!G824='Tablas AR'!$B$11,2,IF('Análisis de Riesgos'!G824='Tablas AR'!$B$12,3,"")))</f>
        <v/>
      </c>
      <c r="I824" s="26" t="str">
        <f t="shared" si="12"/>
        <v/>
      </c>
    </row>
    <row r="825" spans="2:9" x14ac:dyDescent="0.25">
      <c r="B825" s="27" t="str">
        <f>IFERROR(INDEX(Activos!$B$3:$C$16, MATCH(C825,Activos!$B$3:$B$16),2),"")</f>
        <v/>
      </c>
      <c r="C825" s="27"/>
      <c r="D825" s="27"/>
      <c r="E825" s="25"/>
      <c r="F825" s="26" t="str">
        <f>IF(E825='Tablas AR'!$B$4,1,IF('Análisis de Riesgos'!E825='Tablas AR'!$B$5,2,IF('Análisis de Riesgos'!E825='Tablas AR'!$B$6,3,"")))</f>
        <v/>
      </c>
      <c r="G825" s="25"/>
      <c r="H825" s="26" t="str">
        <f>IF(G825='Tablas AR'!$B$10,1,IF('Análisis de Riesgos'!G825='Tablas AR'!$B$11,2,IF('Análisis de Riesgos'!G825='Tablas AR'!$B$12,3,"")))</f>
        <v/>
      </c>
      <c r="I825" s="26" t="str">
        <f t="shared" si="12"/>
        <v/>
      </c>
    </row>
    <row r="826" spans="2:9" x14ac:dyDescent="0.25">
      <c r="B826" s="27" t="str">
        <f>IFERROR(INDEX(Activos!$B$3:$C$16, MATCH(C826,Activos!$B$3:$B$16),2),"")</f>
        <v/>
      </c>
      <c r="C826" s="27"/>
      <c r="D826" s="27"/>
      <c r="E826" s="25"/>
      <c r="F826" s="26" t="str">
        <f>IF(E826='Tablas AR'!$B$4,1,IF('Análisis de Riesgos'!E826='Tablas AR'!$B$5,2,IF('Análisis de Riesgos'!E826='Tablas AR'!$B$6,3,"")))</f>
        <v/>
      </c>
      <c r="G826" s="25"/>
      <c r="H826" s="26" t="str">
        <f>IF(G826='Tablas AR'!$B$10,1,IF('Análisis de Riesgos'!G826='Tablas AR'!$B$11,2,IF('Análisis de Riesgos'!G826='Tablas AR'!$B$12,3,"")))</f>
        <v/>
      </c>
      <c r="I826" s="26" t="str">
        <f t="shared" si="12"/>
        <v/>
      </c>
    </row>
    <row r="827" spans="2:9" x14ac:dyDescent="0.25">
      <c r="B827" s="27" t="str">
        <f>IFERROR(INDEX(Activos!$B$3:$C$16, MATCH(C827,Activos!$B$3:$B$16),2),"")</f>
        <v/>
      </c>
      <c r="C827" s="27"/>
      <c r="D827" s="27"/>
      <c r="E827" s="25"/>
      <c r="F827" s="26" t="str">
        <f>IF(E827='Tablas AR'!$B$4,1,IF('Análisis de Riesgos'!E827='Tablas AR'!$B$5,2,IF('Análisis de Riesgos'!E827='Tablas AR'!$B$6,3,"")))</f>
        <v/>
      </c>
      <c r="G827" s="25"/>
      <c r="H827" s="26" t="str">
        <f>IF(G827='Tablas AR'!$B$10,1,IF('Análisis de Riesgos'!G827='Tablas AR'!$B$11,2,IF('Análisis de Riesgos'!G827='Tablas AR'!$B$12,3,"")))</f>
        <v/>
      </c>
      <c r="I827" s="26" t="str">
        <f t="shared" si="12"/>
        <v/>
      </c>
    </row>
    <row r="828" spans="2:9" x14ac:dyDescent="0.25">
      <c r="B828" s="27" t="str">
        <f>IFERROR(INDEX(Activos!$B$3:$C$16, MATCH(C828,Activos!$B$3:$B$16),2),"")</f>
        <v/>
      </c>
      <c r="C828" s="27"/>
      <c r="D828" s="27"/>
      <c r="E828" s="25"/>
      <c r="F828" s="26" t="str">
        <f>IF(E828='Tablas AR'!$B$4,1,IF('Análisis de Riesgos'!E828='Tablas AR'!$B$5,2,IF('Análisis de Riesgos'!E828='Tablas AR'!$B$6,3,"")))</f>
        <v/>
      </c>
      <c r="G828" s="25"/>
      <c r="H828" s="26" t="str">
        <f>IF(G828='Tablas AR'!$B$10,1,IF('Análisis de Riesgos'!G828='Tablas AR'!$B$11,2,IF('Análisis de Riesgos'!G828='Tablas AR'!$B$12,3,"")))</f>
        <v/>
      </c>
      <c r="I828" s="26" t="str">
        <f t="shared" si="12"/>
        <v/>
      </c>
    </row>
    <row r="829" spans="2:9" x14ac:dyDescent="0.25">
      <c r="B829" s="27" t="str">
        <f>IFERROR(INDEX(Activos!$B$3:$C$16, MATCH(C829,Activos!$B$3:$B$16),2),"")</f>
        <v/>
      </c>
      <c r="C829" s="27"/>
      <c r="D829" s="27"/>
      <c r="E829" s="25"/>
      <c r="F829" s="26" t="str">
        <f>IF(E829='Tablas AR'!$B$4,1,IF('Análisis de Riesgos'!E829='Tablas AR'!$B$5,2,IF('Análisis de Riesgos'!E829='Tablas AR'!$B$6,3,"")))</f>
        <v/>
      </c>
      <c r="G829" s="25"/>
      <c r="H829" s="26" t="str">
        <f>IF(G829='Tablas AR'!$B$10,1,IF('Análisis de Riesgos'!G829='Tablas AR'!$B$11,2,IF('Análisis de Riesgos'!G829='Tablas AR'!$B$12,3,"")))</f>
        <v/>
      </c>
      <c r="I829" s="26" t="str">
        <f t="shared" si="12"/>
        <v/>
      </c>
    </row>
    <row r="830" spans="2:9" x14ac:dyDescent="0.25">
      <c r="B830" s="27" t="str">
        <f>IFERROR(INDEX(Activos!$B$3:$C$16, MATCH(C830,Activos!$B$3:$B$16),2),"")</f>
        <v/>
      </c>
      <c r="C830" s="27"/>
      <c r="D830" s="27"/>
      <c r="E830" s="25"/>
      <c r="F830" s="26" t="str">
        <f>IF(E830='Tablas AR'!$B$4,1,IF('Análisis de Riesgos'!E830='Tablas AR'!$B$5,2,IF('Análisis de Riesgos'!E830='Tablas AR'!$B$6,3,"")))</f>
        <v/>
      </c>
      <c r="G830" s="25"/>
      <c r="H830" s="26" t="str">
        <f>IF(G830='Tablas AR'!$B$10,1,IF('Análisis de Riesgos'!G830='Tablas AR'!$B$11,2,IF('Análisis de Riesgos'!G830='Tablas AR'!$B$12,3,"")))</f>
        <v/>
      </c>
      <c r="I830" s="26" t="str">
        <f t="shared" si="12"/>
        <v/>
      </c>
    </row>
    <row r="831" spans="2:9" x14ac:dyDescent="0.25">
      <c r="B831" s="27" t="str">
        <f>IFERROR(INDEX(Activos!$B$3:$C$16, MATCH(C831,Activos!$B$3:$B$16),2),"")</f>
        <v/>
      </c>
      <c r="C831" s="27"/>
      <c r="D831" s="27"/>
      <c r="E831" s="25"/>
      <c r="F831" s="26" t="str">
        <f>IF(E831='Tablas AR'!$B$4,1,IF('Análisis de Riesgos'!E831='Tablas AR'!$B$5,2,IF('Análisis de Riesgos'!E831='Tablas AR'!$B$6,3,"")))</f>
        <v/>
      </c>
      <c r="G831" s="25"/>
      <c r="H831" s="26" t="str">
        <f>IF(G831='Tablas AR'!$B$10,1,IF('Análisis de Riesgos'!G831='Tablas AR'!$B$11,2,IF('Análisis de Riesgos'!G831='Tablas AR'!$B$12,3,"")))</f>
        <v/>
      </c>
      <c r="I831" s="26" t="str">
        <f t="shared" si="12"/>
        <v/>
      </c>
    </row>
    <row r="832" spans="2:9" x14ac:dyDescent="0.25">
      <c r="B832" s="27" t="str">
        <f>IFERROR(INDEX(Activos!$B$3:$C$16, MATCH(C832,Activos!$B$3:$B$16),2),"")</f>
        <v/>
      </c>
      <c r="C832" s="27"/>
      <c r="D832" s="27"/>
      <c r="E832" s="25"/>
      <c r="F832" s="26" t="str">
        <f>IF(E832='Tablas AR'!$B$4,1,IF('Análisis de Riesgos'!E832='Tablas AR'!$B$5,2,IF('Análisis de Riesgos'!E832='Tablas AR'!$B$6,3,"")))</f>
        <v/>
      </c>
      <c r="G832" s="25"/>
      <c r="H832" s="26" t="str">
        <f>IF(G832='Tablas AR'!$B$10,1,IF('Análisis de Riesgos'!G832='Tablas AR'!$B$11,2,IF('Análisis de Riesgos'!G832='Tablas AR'!$B$12,3,"")))</f>
        <v/>
      </c>
      <c r="I832" s="26" t="str">
        <f t="shared" si="12"/>
        <v/>
      </c>
    </row>
    <row r="833" spans="2:9" x14ac:dyDescent="0.25">
      <c r="B833" s="27" t="str">
        <f>IFERROR(INDEX(Activos!$B$3:$C$16, MATCH(C833,Activos!$B$3:$B$16),2),"")</f>
        <v/>
      </c>
      <c r="C833" s="27"/>
      <c r="D833" s="27"/>
      <c r="E833" s="25"/>
      <c r="F833" s="26" t="str">
        <f>IF(E833='Tablas AR'!$B$4,1,IF('Análisis de Riesgos'!E833='Tablas AR'!$B$5,2,IF('Análisis de Riesgos'!E833='Tablas AR'!$B$6,3,"")))</f>
        <v/>
      </c>
      <c r="G833" s="25"/>
      <c r="H833" s="26" t="str">
        <f>IF(G833='Tablas AR'!$B$10,1,IF('Análisis de Riesgos'!G833='Tablas AR'!$B$11,2,IF('Análisis de Riesgos'!G833='Tablas AR'!$B$12,3,"")))</f>
        <v/>
      </c>
      <c r="I833" s="26" t="str">
        <f t="shared" si="12"/>
        <v/>
      </c>
    </row>
    <row r="834" spans="2:9" x14ac:dyDescent="0.25">
      <c r="B834" s="27" t="str">
        <f>IFERROR(INDEX(Activos!$B$3:$C$16, MATCH(C834,Activos!$B$3:$B$16),2),"")</f>
        <v/>
      </c>
      <c r="C834" s="27"/>
      <c r="D834" s="27"/>
      <c r="E834" s="25"/>
      <c r="F834" s="26" t="str">
        <f>IF(E834='Tablas AR'!$B$4,1,IF('Análisis de Riesgos'!E834='Tablas AR'!$B$5,2,IF('Análisis de Riesgos'!E834='Tablas AR'!$B$6,3,"")))</f>
        <v/>
      </c>
      <c r="G834" s="25"/>
      <c r="H834" s="26" t="str">
        <f>IF(G834='Tablas AR'!$B$10,1,IF('Análisis de Riesgos'!G834='Tablas AR'!$B$11,2,IF('Análisis de Riesgos'!G834='Tablas AR'!$B$12,3,"")))</f>
        <v/>
      </c>
      <c r="I834" s="26" t="str">
        <f t="shared" si="12"/>
        <v/>
      </c>
    </row>
    <row r="835" spans="2:9" x14ac:dyDescent="0.25">
      <c r="B835" s="27" t="str">
        <f>IFERROR(INDEX(Activos!$B$3:$C$16, MATCH(C835,Activos!$B$3:$B$16),2),"")</f>
        <v/>
      </c>
      <c r="C835" s="27"/>
      <c r="D835" s="27"/>
      <c r="E835" s="25"/>
      <c r="F835" s="26" t="str">
        <f>IF(E835='Tablas AR'!$B$4,1,IF('Análisis de Riesgos'!E835='Tablas AR'!$B$5,2,IF('Análisis de Riesgos'!E835='Tablas AR'!$B$6,3,"")))</f>
        <v/>
      </c>
      <c r="G835" s="25"/>
      <c r="H835" s="26" t="str">
        <f>IF(G835='Tablas AR'!$B$10,1,IF('Análisis de Riesgos'!G835='Tablas AR'!$B$11,2,IF('Análisis de Riesgos'!G835='Tablas AR'!$B$12,3,"")))</f>
        <v/>
      </c>
      <c r="I835" s="26" t="str">
        <f t="shared" si="12"/>
        <v/>
      </c>
    </row>
    <row r="836" spans="2:9" x14ac:dyDescent="0.25">
      <c r="B836" s="27" t="str">
        <f>IFERROR(INDEX(Activos!$B$3:$C$16, MATCH(C836,Activos!$B$3:$B$16),2),"")</f>
        <v/>
      </c>
      <c r="C836" s="27"/>
      <c r="D836" s="27"/>
      <c r="E836" s="25"/>
      <c r="F836" s="26" t="str">
        <f>IF(E836='Tablas AR'!$B$4,1,IF('Análisis de Riesgos'!E836='Tablas AR'!$B$5,2,IF('Análisis de Riesgos'!E836='Tablas AR'!$B$6,3,"")))</f>
        <v/>
      </c>
      <c r="G836" s="25"/>
      <c r="H836" s="26" t="str">
        <f>IF(G836='Tablas AR'!$B$10,1,IF('Análisis de Riesgos'!G836='Tablas AR'!$B$11,2,IF('Análisis de Riesgos'!G836='Tablas AR'!$B$12,3,"")))</f>
        <v/>
      </c>
      <c r="I836" s="26" t="str">
        <f t="shared" ref="I836:I899" si="13" xml:space="preserve"> IFERROR(F836*H836,"")</f>
        <v/>
      </c>
    </row>
    <row r="837" spans="2:9" x14ac:dyDescent="0.25">
      <c r="B837" s="27" t="str">
        <f>IFERROR(INDEX(Activos!$B$3:$C$16, MATCH(C837,Activos!$B$3:$B$16),2),"")</f>
        <v/>
      </c>
      <c r="C837" s="27"/>
      <c r="D837" s="27"/>
      <c r="E837" s="25"/>
      <c r="F837" s="26" t="str">
        <f>IF(E837='Tablas AR'!$B$4,1,IF('Análisis de Riesgos'!E837='Tablas AR'!$B$5,2,IF('Análisis de Riesgos'!E837='Tablas AR'!$B$6,3,"")))</f>
        <v/>
      </c>
      <c r="G837" s="25"/>
      <c r="H837" s="26" t="str">
        <f>IF(G837='Tablas AR'!$B$10,1,IF('Análisis de Riesgos'!G837='Tablas AR'!$B$11,2,IF('Análisis de Riesgos'!G837='Tablas AR'!$B$12,3,"")))</f>
        <v/>
      </c>
      <c r="I837" s="26" t="str">
        <f t="shared" si="13"/>
        <v/>
      </c>
    </row>
    <row r="838" spans="2:9" x14ac:dyDescent="0.25">
      <c r="B838" s="27" t="str">
        <f>IFERROR(INDEX(Activos!$B$3:$C$16, MATCH(C838,Activos!$B$3:$B$16),2),"")</f>
        <v/>
      </c>
      <c r="C838" s="27"/>
      <c r="D838" s="27"/>
      <c r="E838" s="25"/>
      <c r="F838" s="26" t="str">
        <f>IF(E838='Tablas AR'!$B$4,1,IF('Análisis de Riesgos'!E838='Tablas AR'!$B$5,2,IF('Análisis de Riesgos'!E838='Tablas AR'!$B$6,3,"")))</f>
        <v/>
      </c>
      <c r="G838" s="25"/>
      <c r="H838" s="26" t="str">
        <f>IF(G838='Tablas AR'!$B$10,1,IF('Análisis de Riesgos'!G838='Tablas AR'!$B$11,2,IF('Análisis de Riesgos'!G838='Tablas AR'!$B$12,3,"")))</f>
        <v/>
      </c>
      <c r="I838" s="26" t="str">
        <f t="shared" si="13"/>
        <v/>
      </c>
    </row>
    <row r="839" spans="2:9" x14ac:dyDescent="0.25">
      <c r="B839" s="27" t="str">
        <f>IFERROR(INDEX(Activos!$B$3:$C$16, MATCH(C839,Activos!$B$3:$B$16),2),"")</f>
        <v/>
      </c>
      <c r="C839" s="27"/>
      <c r="D839" s="27"/>
      <c r="E839" s="25"/>
      <c r="F839" s="26" t="str">
        <f>IF(E839='Tablas AR'!$B$4,1,IF('Análisis de Riesgos'!E839='Tablas AR'!$B$5,2,IF('Análisis de Riesgos'!E839='Tablas AR'!$B$6,3,"")))</f>
        <v/>
      </c>
      <c r="G839" s="25"/>
      <c r="H839" s="26" t="str">
        <f>IF(G839='Tablas AR'!$B$10,1,IF('Análisis de Riesgos'!G839='Tablas AR'!$B$11,2,IF('Análisis de Riesgos'!G839='Tablas AR'!$B$12,3,"")))</f>
        <v/>
      </c>
      <c r="I839" s="26" t="str">
        <f t="shared" si="13"/>
        <v/>
      </c>
    </row>
    <row r="840" spans="2:9" x14ac:dyDescent="0.25">
      <c r="B840" s="27" t="str">
        <f>IFERROR(INDEX(Activos!$B$3:$C$16, MATCH(C840,Activos!$B$3:$B$16),2),"")</f>
        <v/>
      </c>
      <c r="C840" s="27"/>
      <c r="D840" s="27"/>
      <c r="E840" s="25"/>
      <c r="F840" s="26" t="str">
        <f>IF(E840='Tablas AR'!$B$4,1,IF('Análisis de Riesgos'!E840='Tablas AR'!$B$5,2,IF('Análisis de Riesgos'!E840='Tablas AR'!$B$6,3,"")))</f>
        <v/>
      </c>
      <c r="G840" s="25"/>
      <c r="H840" s="26" t="str">
        <f>IF(G840='Tablas AR'!$B$10,1,IF('Análisis de Riesgos'!G840='Tablas AR'!$B$11,2,IF('Análisis de Riesgos'!G840='Tablas AR'!$B$12,3,"")))</f>
        <v/>
      </c>
      <c r="I840" s="26" t="str">
        <f t="shared" si="13"/>
        <v/>
      </c>
    </row>
    <row r="841" spans="2:9" x14ac:dyDescent="0.25">
      <c r="B841" s="27" t="str">
        <f>IFERROR(INDEX(Activos!$B$3:$C$16, MATCH(C841,Activos!$B$3:$B$16),2),"")</f>
        <v/>
      </c>
      <c r="C841" s="27"/>
      <c r="D841" s="27"/>
      <c r="E841" s="25"/>
      <c r="F841" s="26" t="str">
        <f>IF(E841='Tablas AR'!$B$4,1,IF('Análisis de Riesgos'!E841='Tablas AR'!$B$5,2,IF('Análisis de Riesgos'!E841='Tablas AR'!$B$6,3,"")))</f>
        <v/>
      </c>
      <c r="G841" s="25"/>
      <c r="H841" s="26" t="str">
        <f>IF(G841='Tablas AR'!$B$10,1,IF('Análisis de Riesgos'!G841='Tablas AR'!$B$11,2,IF('Análisis de Riesgos'!G841='Tablas AR'!$B$12,3,"")))</f>
        <v/>
      </c>
      <c r="I841" s="26" t="str">
        <f t="shared" si="13"/>
        <v/>
      </c>
    </row>
    <row r="842" spans="2:9" x14ac:dyDescent="0.25">
      <c r="B842" s="27" t="str">
        <f>IFERROR(INDEX(Activos!$B$3:$C$16, MATCH(C842,Activos!$B$3:$B$16),2),"")</f>
        <v/>
      </c>
      <c r="C842" s="27"/>
      <c r="D842" s="27"/>
      <c r="E842" s="25"/>
      <c r="F842" s="26" t="str">
        <f>IF(E842='Tablas AR'!$B$4,1,IF('Análisis de Riesgos'!E842='Tablas AR'!$B$5,2,IF('Análisis de Riesgos'!E842='Tablas AR'!$B$6,3,"")))</f>
        <v/>
      </c>
      <c r="G842" s="25"/>
      <c r="H842" s="26" t="str">
        <f>IF(G842='Tablas AR'!$B$10,1,IF('Análisis de Riesgos'!G842='Tablas AR'!$B$11,2,IF('Análisis de Riesgos'!G842='Tablas AR'!$B$12,3,"")))</f>
        <v/>
      </c>
      <c r="I842" s="26" t="str">
        <f t="shared" si="13"/>
        <v/>
      </c>
    </row>
    <row r="843" spans="2:9" x14ac:dyDescent="0.25">
      <c r="B843" s="27" t="str">
        <f>IFERROR(INDEX(Activos!$B$3:$C$16, MATCH(C843,Activos!$B$3:$B$16),2),"")</f>
        <v/>
      </c>
      <c r="C843" s="27"/>
      <c r="D843" s="27"/>
      <c r="E843" s="25"/>
      <c r="F843" s="26" t="str">
        <f>IF(E843='Tablas AR'!$B$4,1,IF('Análisis de Riesgos'!E843='Tablas AR'!$B$5,2,IF('Análisis de Riesgos'!E843='Tablas AR'!$B$6,3,"")))</f>
        <v/>
      </c>
      <c r="G843" s="25"/>
      <c r="H843" s="26" t="str">
        <f>IF(G843='Tablas AR'!$B$10,1,IF('Análisis de Riesgos'!G843='Tablas AR'!$B$11,2,IF('Análisis de Riesgos'!G843='Tablas AR'!$B$12,3,"")))</f>
        <v/>
      </c>
      <c r="I843" s="26" t="str">
        <f t="shared" si="13"/>
        <v/>
      </c>
    </row>
    <row r="844" spans="2:9" x14ac:dyDescent="0.25">
      <c r="B844" s="27" t="str">
        <f>IFERROR(INDEX(Activos!$B$3:$C$16, MATCH(C844,Activos!$B$3:$B$16),2),"")</f>
        <v/>
      </c>
      <c r="C844" s="27"/>
      <c r="D844" s="27"/>
      <c r="E844" s="25"/>
      <c r="F844" s="26" t="str">
        <f>IF(E844='Tablas AR'!$B$4,1,IF('Análisis de Riesgos'!E844='Tablas AR'!$B$5,2,IF('Análisis de Riesgos'!E844='Tablas AR'!$B$6,3,"")))</f>
        <v/>
      </c>
      <c r="G844" s="25"/>
      <c r="H844" s="26" t="str">
        <f>IF(G844='Tablas AR'!$B$10,1,IF('Análisis de Riesgos'!G844='Tablas AR'!$B$11,2,IF('Análisis de Riesgos'!G844='Tablas AR'!$B$12,3,"")))</f>
        <v/>
      </c>
      <c r="I844" s="26" t="str">
        <f t="shared" si="13"/>
        <v/>
      </c>
    </row>
    <row r="845" spans="2:9" x14ac:dyDescent="0.25">
      <c r="B845" s="27" t="str">
        <f>IFERROR(INDEX(Activos!$B$3:$C$16, MATCH(C845,Activos!$B$3:$B$16),2),"")</f>
        <v/>
      </c>
      <c r="C845" s="27"/>
      <c r="D845" s="27"/>
      <c r="E845" s="25"/>
      <c r="F845" s="26" t="str">
        <f>IF(E845='Tablas AR'!$B$4,1,IF('Análisis de Riesgos'!E845='Tablas AR'!$B$5,2,IF('Análisis de Riesgos'!E845='Tablas AR'!$B$6,3,"")))</f>
        <v/>
      </c>
      <c r="G845" s="25"/>
      <c r="H845" s="26" t="str">
        <f>IF(G845='Tablas AR'!$B$10,1,IF('Análisis de Riesgos'!G845='Tablas AR'!$B$11,2,IF('Análisis de Riesgos'!G845='Tablas AR'!$B$12,3,"")))</f>
        <v/>
      </c>
      <c r="I845" s="26" t="str">
        <f t="shared" si="13"/>
        <v/>
      </c>
    </row>
    <row r="846" spans="2:9" x14ac:dyDescent="0.25">
      <c r="B846" s="27" t="str">
        <f>IFERROR(INDEX(Activos!$B$3:$C$16, MATCH(C846,Activos!$B$3:$B$16),2),"")</f>
        <v/>
      </c>
      <c r="C846" s="27"/>
      <c r="D846" s="27"/>
      <c r="E846" s="25"/>
      <c r="F846" s="26" t="str">
        <f>IF(E846='Tablas AR'!$B$4,1,IF('Análisis de Riesgos'!E846='Tablas AR'!$B$5,2,IF('Análisis de Riesgos'!E846='Tablas AR'!$B$6,3,"")))</f>
        <v/>
      </c>
      <c r="G846" s="25"/>
      <c r="H846" s="26" t="str">
        <f>IF(G846='Tablas AR'!$B$10,1,IF('Análisis de Riesgos'!G846='Tablas AR'!$B$11,2,IF('Análisis de Riesgos'!G846='Tablas AR'!$B$12,3,"")))</f>
        <v/>
      </c>
      <c r="I846" s="26" t="str">
        <f t="shared" si="13"/>
        <v/>
      </c>
    </row>
    <row r="847" spans="2:9" x14ac:dyDescent="0.25">
      <c r="B847" s="27" t="str">
        <f>IFERROR(INDEX(Activos!$B$3:$C$16, MATCH(C847,Activos!$B$3:$B$16),2),"")</f>
        <v/>
      </c>
      <c r="C847" s="27"/>
      <c r="D847" s="27"/>
      <c r="E847" s="25"/>
      <c r="F847" s="26" t="str">
        <f>IF(E847='Tablas AR'!$B$4,1,IF('Análisis de Riesgos'!E847='Tablas AR'!$B$5,2,IF('Análisis de Riesgos'!E847='Tablas AR'!$B$6,3,"")))</f>
        <v/>
      </c>
      <c r="G847" s="25"/>
      <c r="H847" s="26" t="str">
        <f>IF(G847='Tablas AR'!$B$10,1,IF('Análisis de Riesgos'!G847='Tablas AR'!$B$11,2,IF('Análisis de Riesgos'!G847='Tablas AR'!$B$12,3,"")))</f>
        <v/>
      </c>
      <c r="I847" s="26" t="str">
        <f t="shared" si="13"/>
        <v/>
      </c>
    </row>
    <row r="848" spans="2:9" x14ac:dyDescent="0.25">
      <c r="B848" s="27" t="str">
        <f>IFERROR(INDEX(Activos!$B$3:$C$16, MATCH(C848,Activos!$B$3:$B$16),2),"")</f>
        <v/>
      </c>
      <c r="C848" s="27"/>
      <c r="D848" s="27"/>
      <c r="E848" s="25"/>
      <c r="F848" s="26" t="str">
        <f>IF(E848='Tablas AR'!$B$4,1,IF('Análisis de Riesgos'!E848='Tablas AR'!$B$5,2,IF('Análisis de Riesgos'!E848='Tablas AR'!$B$6,3,"")))</f>
        <v/>
      </c>
      <c r="G848" s="25"/>
      <c r="H848" s="26" t="str">
        <f>IF(G848='Tablas AR'!$B$10,1,IF('Análisis de Riesgos'!G848='Tablas AR'!$B$11,2,IF('Análisis de Riesgos'!G848='Tablas AR'!$B$12,3,"")))</f>
        <v/>
      </c>
      <c r="I848" s="26" t="str">
        <f t="shared" si="13"/>
        <v/>
      </c>
    </row>
    <row r="849" spans="2:9" x14ac:dyDescent="0.25">
      <c r="B849" s="27" t="str">
        <f>IFERROR(INDEX(Activos!$B$3:$C$16, MATCH(C849,Activos!$B$3:$B$16),2),"")</f>
        <v/>
      </c>
      <c r="C849" s="27"/>
      <c r="D849" s="27"/>
      <c r="E849" s="25"/>
      <c r="F849" s="26" t="str">
        <f>IF(E849='Tablas AR'!$B$4,1,IF('Análisis de Riesgos'!E849='Tablas AR'!$B$5,2,IF('Análisis de Riesgos'!E849='Tablas AR'!$B$6,3,"")))</f>
        <v/>
      </c>
      <c r="G849" s="25"/>
      <c r="H849" s="26" t="str">
        <f>IF(G849='Tablas AR'!$B$10,1,IF('Análisis de Riesgos'!G849='Tablas AR'!$B$11,2,IF('Análisis de Riesgos'!G849='Tablas AR'!$B$12,3,"")))</f>
        <v/>
      </c>
      <c r="I849" s="26" t="str">
        <f t="shared" si="13"/>
        <v/>
      </c>
    </row>
    <row r="850" spans="2:9" x14ac:dyDescent="0.25">
      <c r="B850" s="27" t="str">
        <f>IFERROR(INDEX(Activos!$B$3:$C$16, MATCH(C850,Activos!$B$3:$B$16),2),"")</f>
        <v/>
      </c>
      <c r="C850" s="27"/>
      <c r="D850" s="27"/>
      <c r="E850" s="25"/>
      <c r="F850" s="26" t="str">
        <f>IF(E850='Tablas AR'!$B$4,1,IF('Análisis de Riesgos'!E850='Tablas AR'!$B$5,2,IF('Análisis de Riesgos'!E850='Tablas AR'!$B$6,3,"")))</f>
        <v/>
      </c>
      <c r="G850" s="25"/>
      <c r="H850" s="26" t="str">
        <f>IF(G850='Tablas AR'!$B$10,1,IF('Análisis de Riesgos'!G850='Tablas AR'!$B$11,2,IF('Análisis de Riesgos'!G850='Tablas AR'!$B$12,3,"")))</f>
        <v/>
      </c>
      <c r="I850" s="26" t="str">
        <f t="shared" si="13"/>
        <v/>
      </c>
    </row>
    <row r="851" spans="2:9" x14ac:dyDescent="0.25">
      <c r="B851" s="27" t="str">
        <f>IFERROR(INDEX(Activos!$B$3:$C$16, MATCH(C851,Activos!$B$3:$B$16),2),"")</f>
        <v/>
      </c>
      <c r="C851" s="27"/>
      <c r="D851" s="27"/>
      <c r="E851" s="25"/>
      <c r="F851" s="26" t="str">
        <f>IF(E851='Tablas AR'!$B$4,1,IF('Análisis de Riesgos'!E851='Tablas AR'!$B$5,2,IF('Análisis de Riesgos'!E851='Tablas AR'!$B$6,3,"")))</f>
        <v/>
      </c>
      <c r="G851" s="25"/>
      <c r="H851" s="26" t="str">
        <f>IF(G851='Tablas AR'!$B$10,1,IF('Análisis de Riesgos'!G851='Tablas AR'!$B$11,2,IF('Análisis de Riesgos'!G851='Tablas AR'!$B$12,3,"")))</f>
        <v/>
      </c>
      <c r="I851" s="26" t="str">
        <f t="shared" si="13"/>
        <v/>
      </c>
    </row>
    <row r="852" spans="2:9" x14ac:dyDescent="0.25">
      <c r="B852" s="27" t="str">
        <f>IFERROR(INDEX(Activos!$B$3:$C$16, MATCH(C852,Activos!$B$3:$B$16),2),"")</f>
        <v/>
      </c>
      <c r="C852" s="27"/>
      <c r="D852" s="27"/>
      <c r="E852" s="25"/>
      <c r="F852" s="26" t="str">
        <f>IF(E852='Tablas AR'!$B$4,1,IF('Análisis de Riesgos'!E852='Tablas AR'!$B$5,2,IF('Análisis de Riesgos'!E852='Tablas AR'!$B$6,3,"")))</f>
        <v/>
      </c>
      <c r="G852" s="25"/>
      <c r="H852" s="26" t="str">
        <f>IF(G852='Tablas AR'!$B$10,1,IF('Análisis de Riesgos'!G852='Tablas AR'!$B$11,2,IF('Análisis de Riesgos'!G852='Tablas AR'!$B$12,3,"")))</f>
        <v/>
      </c>
      <c r="I852" s="26" t="str">
        <f t="shared" si="13"/>
        <v/>
      </c>
    </row>
    <row r="853" spans="2:9" x14ac:dyDescent="0.25">
      <c r="B853" s="27" t="str">
        <f>IFERROR(INDEX(Activos!$B$3:$C$16, MATCH(C853,Activos!$B$3:$B$16),2),"")</f>
        <v/>
      </c>
      <c r="C853" s="27"/>
      <c r="D853" s="27"/>
      <c r="E853" s="25"/>
      <c r="F853" s="26" t="str">
        <f>IF(E853='Tablas AR'!$B$4,1,IF('Análisis de Riesgos'!E853='Tablas AR'!$B$5,2,IF('Análisis de Riesgos'!E853='Tablas AR'!$B$6,3,"")))</f>
        <v/>
      </c>
      <c r="G853" s="25"/>
      <c r="H853" s="26" t="str">
        <f>IF(G853='Tablas AR'!$B$10,1,IF('Análisis de Riesgos'!G853='Tablas AR'!$B$11,2,IF('Análisis de Riesgos'!G853='Tablas AR'!$B$12,3,"")))</f>
        <v/>
      </c>
      <c r="I853" s="26" t="str">
        <f t="shared" si="13"/>
        <v/>
      </c>
    </row>
    <row r="854" spans="2:9" x14ac:dyDescent="0.25">
      <c r="B854" s="27" t="str">
        <f>IFERROR(INDEX(Activos!$B$3:$C$16, MATCH(C854,Activos!$B$3:$B$16),2),"")</f>
        <v/>
      </c>
      <c r="C854" s="27"/>
      <c r="D854" s="27"/>
      <c r="E854" s="25"/>
      <c r="F854" s="26" t="str">
        <f>IF(E854='Tablas AR'!$B$4,1,IF('Análisis de Riesgos'!E854='Tablas AR'!$B$5,2,IF('Análisis de Riesgos'!E854='Tablas AR'!$B$6,3,"")))</f>
        <v/>
      </c>
      <c r="G854" s="25"/>
      <c r="H854" s="26" t="str">
        <f>IF(G854='Tablas AR'!$B$10,1,IF('Análisis de Riesgos'!G854='Tablas AR'!$B$11,2,IF('Análisis de Riesgos'!G854='Tablas AR'!$B$12,3,"")))</f>
        <v/>
      </c>
      <c r="I854" s="26" t="str">
        <f t="shared" si="13"/>
        <v/>
      </c>
    </row>
    <row r="855" spans="2:9" x14ac:dyDescent="0.25">
      <c r="B855" s="27" t="str">
        <f>IFERROR(INDEX(Activos!$B$3:$C$16, MATCH(C855,Activos!$B$3:$B$16),2),"")</f>
        <v/>
      </c>
      <c r="C855" s="27"/>
      <c r="D855" s="27"/>
      <c r="E855" s="25"/>
      <c r="F855" s="26" t="str">
        <f>IF(E855='Tablas AR'!$B$4,1,IF('Análisis de Riesgos'!E855='Tablas AR'!$B$5,2,IF('Análisis de Riesgos'!E855='Tablas AR'!$B$6,3,"")))</f>
        <v/>
      </c>
      <c r="G855" s="25"/>
      <c r="H855" s="26" t="str">
        <f>IF(G855='Tablas AR'!$B$10,1,IF('Análisis de Riesgos'!G855='Tablas AR'!$B$11,2,IF('Análisis de Riesgos'!G855='Tablas AR'!$B$12,3,"")))</f>
        <v/>
      </c>
      <c r="I855" s="26" t="str">
        <f t="shared" si="13"/>
        <v/>
      </c>
    </row>
    <row r="856" spans="2:9" x14ac:dyDescent="0.25">
      <c r="B856" s="27" t="str">
        <f>IFERROR(INDEX(Activos!$B$3:$C$16, MATCH(C856,Activos!$B$3:$B$16),2),"")</f>
        <v/>
      </c>
      <c r="C856" s="27"/>
      <c r="D856" s="27"/>
      <c r="E856" s="25"/>
      <c r="F856" s="26" t="str">
        <f>IF(E856='Tablas AR'!$B$4,1,IF('Análisis de Riesgos'!E856='Tablas AR'!$B$5,2,IF('Análisis de Riesgos'!E856='Tablas AR'!$B$6,3,"")))</f>
        <v/>
      </c>
      <c r="G856" s="25"/>
      <c r="H856" s="26" t="str">
        <f>IF(G856='Tablas AR'!$B$10,1,IF('Análisis de Riesgos'!G856='Tablas AR'!$B$11,2,IF('Análisis de Riesgos'!G856='Tablas AR'!$B$12,3,"")))</f>
        <v/>
      </c>
      <c r="I856" s="26" t="str">
        <f t="shared" si="13"/>
        <v/>
      </c>
    </row>
    <row r="857" spans="2:9" x14ac:dyDescent="0.25">
      <c r="B857" s="27" t="str">
        <f>IFERROR(INDEX(Activos!$B$3:$C$16, MATCH(C857,Activos!$B$3:$B$16),2),"")</f>
        <v/>
      </c>
      <c r="C857" s="27"/>
      <c r="D857" s="27"/>
      <c r="E857" s="25"/>
      <c r="F857" s="26" t="str">
        <f>IF(E857='Tablas AR'!$B$4,1,IF('Análisis de Riesgos'!E857='Tablas AR'!$B$5,2,IF('Análisis de Riesgos'!E857='Tablas AR'!$B$6,3,"")))</f>
        <v/>
      </c>
      <c r="G857" s="25"/>
      <c r="H857" s="26" t="str">
        <f>IF(G857='Tablas AR'!$B$10,1,IF('Análisis de Riesgos'!G857='Tablas AR'!$B$11,2,IF('Análisis de Riesgos'!G857='Tablas AR'!$B$12,3,"")))</f>
        <v/>
      </c>
      <c r="I857" s="26" t="str">
        <f t="shared" si="13"/>
        <v/>
      </c>
    </row>
    <row r="858" spans="2:9" x14ac:dyDescent="0.25">
      <c r="B858" s="27" t="str">
        <f>IFERROR(INDEX(Activos!$B$3:$C$16, MATCH(C858,Activos!$B$3:$B$16),2),"")</f>
        <v/>
      </c>
      <c r="C858" s="27"/>
      <c r="D858" s="27"/>
      <c r="E858" s="25"/>
      <c r="F858" s="26" t="str">
        <f>IF(E858='Tablas AR'!$B$4,1,IF('Análisis de Riesgos'!E858='Tablas AR'!$B$5,2,IF('Análisis de Riesgos'!E858='Tablas AR'!$B$6,3,"")))</f>
        <v/>
      </c>
      <c r="G858" s="25"/>
      <c r="H858" s="26" t="str">
        <f>IF(G858='Tablas AR'!$B$10,1,IF('Análisis de Riesgos'!G858='Tablas AR'!$B$11,2,IF('Análisis de Riesgos'!G858='Tablas AR'!$B$12,3,"")))</f>
        <v/>
      </c>
      <c r="I858" s="26" t="str">
        <f t="shared" si="13"/>
        <v/>
      </c>
    </row>
    <row r="859" spans="2:9" x14ac:dyDescent="0.25">
      <c r="B859" s="27" t="str">
        <f>IFERROR(INDEX(Activos!$B$3:$C$16, MATCH(C859,Activos!$B$3:$B$16),2),"")</f>
        <v/>
      </c>
      <c r="C859" s="27"/>
      <c r="D859" s="27"/>
      <c r="E859" s="25"/>
      <c r="F859" s="26" t="str">
        <f>IF(E859='Tablas AR'!$B$4,1,IF('Análisis de Riesgos'!E859='Tablas AR'!$B$5,2,IF('Análisis de Riesgos'!E859='Tablas AR'!$B$6,3,"")))</f>
        <v/>
      </c>
      <c r="G859" s="25"/>
      <c r="H859" s="26" t="str">
        <f>IF(G859='Tablas AR'!$B$10,1,IF('Análisis de Riesgos'!G859='Tablas AR'!$B$11,2,IF('Análisis de Riesgos'!G859='Tablas AR'!$B$12,3,"")))</f>
        <v/>
      </c>
      <c r="I859" s="26" t="str">
        <f t="shared" si="13"/>
        <v/>
      </c>
    </row>
    <row r="860" spans="2:9" x14ac:dyDescent="0.25">
      <c r="B860" s="27" t="str">
        <f>IFERROR(INDEX(Activos!$B$3:$C$16, MATCH(C860,Activos!$B$3:$B$16),2),"")</f>
        <v/>
      </c>
      <c r="C860" s="27"/>
      <c r="D860" s="27"/>
      <c r="E860" s="25"/>
      <c r="F860" s="26" t="str">
        <f>IF(E860='Tablas AR'!$B$4,1,IF('Análisis de Riesgos'!E860='Tablas AR'!$B$5,2,IF('Análisis de Riesgos'!E860='Tablas AR'!$B$6,3,"")))</f>
        <v/>
      </c>
      <c r="G860" s="25"/>
      <c r="H860" s="26" t="str">
        <f>IF(G860='Tablas AR'!$B$10,1,IF('Análisis de Riesgos'!G860='Tablas AR'!$B$11,2,IF('Análisis de Riesgos'!G860='Tablas AR'!$B$12,3,"")))</f>
        <v/>
      </c>
      <c r="I860" s="26" t="str">
        <f t="shared" si="13"/>
        <v/>
      </c>
    </row>
    <row r="861" spans="2:9" x14ac:dyDescent="0.25">
      <c r="B861" s="27" t="str">
        <f>IFERROR(INDEX(Activos!$B$3:$C$16, MATCH(C861,Activos!$B$3:$B$16),2),"")</f>
        <v/>
      </c>
      <c r="C861" s="27"/>
      <c r="D861" s="27"/>
      <c r="E861" s="25"/>
      <c r="F861" s="26" t="str">
        <f>IF(E861='Tablas AR'!$B$4,1,IF('Análisis de Riesgos'!E861='Tablas AR'!$B$5,2,IF('Análisis de Riesgos'!E861='Tablas AR'!$B$6,3,"")))</f>
        <v/>
      </c>
      <c r="G861" s="25"/>
      <c r="H861" s="26" t="str">
        <f>IF(G861='Tablas AR'!$B$10,1,IF('Análisis de Riesgos'!G861='Tablas AR'!$B$11,2,IF('Análisis de Riesgos'!G861='Tablas AR'!$B$12,3,"")))</f>
        <v/>
      </c>
      <c r="I861" s="26" t="str">
        <f t="shared" si="13"/>
        <v/>
      </c>
    </row>
    <row r="862" spans="2:9" x14ac:dyDescent="0.25">
      <c r="B862" s="27" t="str">
        <f>IFERROR(INDEX(Activos!$B$3:$C$16, MATCH(C862,Activos!$B$3:$B$16),2),"")</f>
        <v/>
      </c>
      <c r="C862" s="27"/>
      <c r="D862" s="27"/>
      <c r="E862" s="25"/>
      <c r="F862" s="26" t="str">
        <f>IF(E862='Tablas AR'!$B$4,1,IF('Análisis de Riesgos'!E862='Tablas AR'!$B$5,2,IF('Análisis de Riesgos'!E862='Tablas AR'!$B$6,3,"")))</f>
        <v/>
      </c>
      <c r="G862" s="25"/>
      <c r="H862" s="26" t="str">
        <f>IF(G862='Tablas AR'!$B$10,1,IF('Análisis de Riesgos'!G862='Tablas AR'!$B$11,2,IF('Análisis de Riesgos'!G862='Tablas AR'!$B$12,3,"")))</f>
        <v/>
      </c>
      <c r="I862" s="26" t="str">
        <f t="shared" si="13"/>
        <v/>
      </c>
    </row>
    <row r="863" spans="2:9" x14ac:dyDescent="0.25">
      <c r="B863" s="27" t="str">
        <f>IFERROR(INDEX(Activos!$B$3:$C$16, MATCH(C863,Activos!$B$3:$B$16),2),"")</f>
        <v/>
      </c>
      <c r="C863" s="27"/>
      <c r="D863" s="27"/>
      <c r="E863" s="25"/>
      <c r="F863" s="26" t="str">
        <f>IF(E863='Tablas AR'!$B$4,1,IF('Análisis de Riesgos'!E863='Tablas AR'!$B$5,2,IF('Análisis de Riesgos'!E863='Tablas AR'!$B$6,3,"")))</f>
        <v/>
      </c>
      <c r="G863" s="25"/>
      <c r="H863" s="26" t="str">
        <f>IF(G863='Tablas AR'!$B$10,1,IF('Análisis de Riesgos'!G863='Tablas AR'!$B$11,2,IF('Análisis de Riesgos'!G863='Tablas AR'!$B$12,3,"")))</f>
        <v/>
      </c>
      <c r="I863" s="26" t="str">
        <f t="shared" si="13"/>
        <v/>
      </c>
    </row>
    <row r="864" spans="2:9" x14ac:dyDescent="0.25">
      <c r="B864" s="27" t="str">
        <f>IFERROR(INDEX(Activos!$B$3:$C$16, MATCH(C864,Activos!$B$3:$B$16),2),"")</f>
        <v/>
      </c>
      <c r="C864" s="27"/>
      <c r="D864" s="27"/>
      <c r="E864" s="25"/>
      <c r="F864" s="26" t="str">
        <f>IF(E864='Tablas AR'!$B$4,1,IF('Análisis de Riesgos'!E864='Tablas AR'!$B$5,2,IF('Análisis de Riesgos'!E864='Tablas AR'!$B$6,3,"")))</f>
        <v/>
      </c>
      <c r="G864" s="25"/>
      <c r="H864" s="26" t="str">
        <f>IF(G864='Tablas AR'!$B$10,1,IF('Análisis de Riesgos'!G864='Tablas AR'!$B$11,2,IF('Análisis de Riesgos'!G864='Tablas AR'!$B$12,3,"")))</f>
        <v/>
      </c>
      <c r="I864" s="26" t="str">
        <f t="shared" si="13"/>
        <v/>
      </c>
    </row>
    <row r="865" spans="2:9" x14ac:dyDescent="0.25">
      <c r="B865" s="27" t="str">
        <f>IFERROR(INDEX(Activos!$B$3:$C$16, MATCH(C865,Activos!$B$3:$B$16),2),"")</f>
        <v/>
      </c>
      <c r="C865" s="27"/>
      <c r="D865" s="27"/>
      <c r="E865" s="25"/>
      <c r="F865" s="26" t="str">
        <f>IF(E865='Tablas AR'!$B$4,1,IF('Análisis de Riesgos'!E865='Tablas AR'!$B$5,2,IF('Análisis de Riesgos'!E865='Tablas AR'!$B$6,3,"")))</f>
        <v/>
      </c>
      <c r="G865" s="25"/>
      <c r="H865" s="26" t="str">
        <f>IF(G865='Tablas AR'!$B$10,1,IF('Análisis de Riesgos'!G865='Tablas AR'!$B$11,2,IF('Análisis de Riesgos'!G865='Tablas AR'!$B$12,3,"")))</f>
        <v/>
      </c>
      <c r="I865" s="26" t="str">
        <f t="shared" si="13"/>
        <v/>
      </c>
    </row>
    <row r="866" spans="2:9" x14ac:dyDescent="0.25">
      <c r="B866" s="27" t="str">
        <f>IFERROR(INDEX(Activos!$B$3:$C$16, MATCH(C866,Activos!$B$3:$B$16),2),"")</f>
        <v/>
      </c>
      <c r="C866" s="27"/>
      <c r="D866" s="27"/>
      <c r="E866" s="25"/>
      <c r="F866" s="26" t="str">
        <f>IF(E866='Tablas AR'!$B$4,1,IF('Análisis de Riesgos'!E866='Tablas AR'!$B$5,2,IF('Análisis de Riesgos'!E866='Tablas AR'!$B$6,3,"")))</f>
        <v/>
      </c>
      <c r="G866" s="25"/>
      <c r="H866" s="26" t="str">
        <f>IF(G866='Tablas AR'!$B$10,1,IF('Análisis de Riesgos'!G866='Tablas AR'!$B$11,2,IF('Análisis de Riesgos'!G866='Tablas AR'!$B$12,3,"")))</f>
        <v/>
      </c>
      <c r="I866" s="26" t="str">
        <f t="shared" si="13"/>
        <v/>
      </c>
    </row>
    <row r="867" spans="2:9" x14ac:dyDescent="0.25">
      <c r="B867" s="27" t="str">
        <f>IFERROR(INDEX(Activos!$B$3:$C$16, MATCH(C867,Activos!$B$3:$B$16),2),"")</f>
        <v/>
      </c>
      <c r="C867" s="27"/>
      <c r="D867" s="27"/>
      <c r="E867" s="25"/>
      <c r="F867" s="26" t="str">
        <f>IF(E867='Tablas AR'!$B$4,1,IF('Análisis de Riesgos'!E867='Tablas AR'!$B$5,2,IF('Análisis de Riesgos'!E867='Tablas AR'!$B$6,3,"")))</f>
        <v/>
      </c>
      <c r="G867" s="25"/>
      <c r="H867" s="26" t="str">
        <f>IF(G867='Tablas AR'!$B$10,1,IF('Análisis de Riesgos'!G867='Tablas AR'!$B$11,2,IF('Análisis de Riesgos'!G867='Tablas AR'!$B$12,3,"")))</f>
        <v/>
      </c>
      <c r="I867" s="26" t="str">
        <f t="shared" si="13"/>
        <v/>
      </c>
    </row>
    <row r="868" spans="2:9" x14ac:dyDescent="0.25">
      <c r="B868" s="27" t="str">
        <f>IFERROR(INDEX(Activos!$B$3:$C$16, MATCH(C868,Activos!$B$3:$B$16),2),"")</f>
        <v/>
      </c>
      <c r="C868" s="27"/>
      <c r="D868" s="27"/>
      <c r="E868" s="25"/>
      <c r="F868" s="26" t="str">
        <f>IF(E868='Tablas AR'!$B$4,1,IF('Análisis de Riesgos'!E868='Tablas AR'!$B$5,2,IF('Análisis de Riesgos'!E868='Tablas AR'!$B$6,3,"")))</f>
        <v/>
      </c>
      <c r="G868" s="25"/>
      <c r="H868" s="26" t="str">
        <f>IF(G868='Tablas AR'!$B$10,1,IF('Análisis de Riesgos'!G868='Tablas AR'!$B$11,2,IF('Análisis de Riesgos'!G868='Tablas AR'!$B$12,3,"")))</f>
        <v/>
      </c>
      <c r="I868" s="26" t="str">
        <f t="shared" si="13"/>
        <v/>
      </c>
    </row>
    <row r="869" spans="2:9" x14ac:dyDescent="0.25">
      <c r="B869" s="27" t="str">
        <f>IFERROR(INDEX(Activos!$B$3:$C$16, MATCH(C869,Activos!$B$3:$B$16),2),"")</f>
        <v/>
      </c>
      <c r="C869" s="27"/>
      <c r="D869" s="27"/>
      <c r="E869" s="25"/>
      <c r="F869" s="26" t="str">
        <f>IF(E869='Tablas AR'!$B$4,1,IF('Análisis de Riesgos'!E869='Tablas AR'!$B$5,2,IF('Análisis de Riesgos'!E869='Tablas AR'!$B$6,3,"")))</f>
        <v/>
      </c>
      <c r="G869" s="25"/>
      <c r="H869" s="26" t="str">
        <f>IF(G869='Tablas AR'!$B$10,1,IF('Análisis de Riesgos'!G869='Tablas AR'!$B$11,2,IF('Análisis de Riesgos'!G869='Tablas AR'!$B$12,3,"")))</f>
        <v/>
      </c>
      <c r="I869" s="26" t="str">
        <f t="shared" si="13"/>
        <v/>
      </c>
    </row>
    <row r="870" spans="2:9" x14ac:dyDescent="0.25">
      <c r="B870" s="27" t="str">
        <f>IFERROR(INDEX(Activos!$B$3:$C$16, MATCH(C870,Activos!$B$3:$B$16),2),"")</f>
        <v/>
      </c>
      <c r="C870" s="27"/>
      <c r="D870" s="27"/>
      <c r="E870" s="25"/>
      <c r="F870" s="26" t="str">
        <f>IF(E870='Tablas AR'!$B$4,1,IF('Análisis de Riesgos'!E870='Tablas AR'!$B$5,2,IF('Análisis de Riesgos'!E870='Tablas AR'!$B$6,3,"")))</f>
        <v/>
      </c>
      <c r="G870" s="25"/>
      <c r="H870" s="26" t="str">
        <f>IF(G870='Tablas AR'!$B$10,1,IF('Análisis de Riesgos'!G870='Tablas AR'!$B$11,2,IF('Análisis de Riesgos'!G870='Tablas AR'!$B$12,3,"")))</f>
        <v/>
      </c>
      <c r="I870" s="26" t="str">
        <f t="shared" si="13"/>
        <v/>
      </c>
    </row>
    <row r="871" spans="2:9" x14ac:dyDescent="0.25">
      <c r="B871" s="27" t="str">
        <f>IFERROR(INDEX(Activos!$B$3:$C$16, MATCH(C871,Activos!$B$3:$B$16),2),"")</f>
        <v/>
      </c>
      <c r="C871" s="27"/>
      <c r="D871" s="27"/>
      <c r="E871" s="25"/>
      <c r="F871" s="26" t="str">
        <f>IF(E871='Tablas AR'!$B$4,1,IF('Análisis de Riesgos'!E871='Tablas AR'!$B$5,2,IF('Análisis de Riesgos'!E871='Tablas AR'!$B$6,3,"")))</f>
        <v/>
      </c>
      <c r="G871" s="25"/>
      <c r="H871" s="26" t="str">
        <f>IF(G871='Tablas AR'!$B$10,1,IF('Análisis de Riesgos'!G871='Tablas AR'!$B$11,2,IF('Análisis de Riesgos'!G871='Tablas AR'!$B$12,3,"")))</f>
        <v/>
      </c>
      <c r="I871" s="26" t="str">
        <f t="shared" si="13"/>
        <v/>
      </c>
    </row>
    <row r="872" spans="2:9" x14ac:dyDescent="0.25">
      <c r="B872" s="27" t="str">
        <f>IFERROR(INDEX(Activos!$B$3:$C$16, MATCH(C872,Activos!$B$3:$B$16),2),"")</f>
        <v/>
      </c>
      <c r="C872" s="27"/>
      <c r="D872" s="27"/>
      <c r="E872" s="25"/>
      <c r="F872" s="26" t="str">
        <f>IF(E872='Tablas AR'!$B$4,1,IF('Análisis de Riesgos'!E872='Tablas AR'!$B$5,2,IF('Análisis de Riesgos'!E872='Tablas AR'!$B$6,3,"")))</f>
        <v/>
      </c>
      <c r="G872" s="25"/>
      <c r="H872" s="26" t="str">
        <f>IF(G872='Tablas AR'!$B$10,1,IF('Análisis de Riesgos'!G872='Tablas AR'!$B$11,2,IF('Análisis de Riesgos'!G872='Tablas AR'!$B$12,3,"")))</f>
        <v/>
      </c>
      <c r="I872" s="26" t="str">
        <f t="shared" si="13"/>
        <v/>
      </c>
    </row>
    <row r="873" spans="2:9" x14ac:dyDescent="0.25">
      <c r="B873" s="27" t="str">
        <f>IFERROR(INDEX(Activos!$B$3:$C$16, MATCH(C873,Activos!$B$3:$B$16),2),"")</f>
        <v/>
      </c>
      <c r="C873" s="27"/>
      <c r="D873" s="27"/>
      <c r="E873" s="25"/>
      <c r="F873" s="26" t="str">
        <f>IF(E873='Tablas AR'!$B$4,1,IF('Análisis de Riesgos'!E873='Tablas AR'!$B$5,2,IF('Análisis de Riesgos'!E873='Tablas AR'!$B$6,3,"")))</f>
        <v/>
      </c>
      <c r="G873" s="25"/>
      <c r="H873" s="26" t="str">
        <f>IF(G873='Tablas AR'!$B$10,1,IF('Análisis de Riesgos'!G873='Tablas AR'!$B$11,2,IF('Análisis de Riesgos'!G873='Tablas AR'!$B$12,3,"")))</f>
        <v/>
      </c>
      <c r="I873" s="26" t="str">
        <f t="shared" si="13"/>
        <v/>
      </c>
    </row>
    <row r="874" spans="2:9" x14ac:dyDescent="0.25">
      <c r="B874" s="27" t="str">
        <f>IFERROR(INDEX(Activos!$B$3:$C$16, MATCH(C874,Activos!$B$3:$B$16),2),"")</f>
        <v/>
      </c>
      <c r="C874" s="27"/>
      <c r="D874" s="27"/>
      <c r="E874" s="25"/>
      <c r="F874" s="26" t="str">
        <f>IF(E874='Tablas AR'!$B$4,1,IF('Análisis de Riesgos'!E874='Tablas AR'!$B$5,2,IF('Análisis de Riesgos'!E874='Tablas AR'!$B$6,3,"")))</f>
        <v/>
      </c>
      <c r="G874" s="25"/>
      <c r="H874" s="26" t="str">
        <f>IF(G874='Tablas AR'!$B$10,1,IF('Análisis de Riesgos'!G874='Tablas AR'!$B$11,2,IF('Análisis de Riesgos'!G874='Tablas AR'!$B$12,3,"")))</f>
        <v/>
      </c>
      <c r="I874" s="26" t="str">
        <f t="shared" si="13"/>
        <v/>
      </c>
    </row>
    <row r="875" spans="2:9" x14ac:dyDescent="0.25">
      <c r="B875" s="27" t="str">
        <f>IFERROR(INDEX(Activos!$B$3:$C$16, MATCH(C875,Activos!$B$3:$B$16),2),"")</f>
        <v/>
      </c>
      <c r="C875" s="27"/>
      <c r="D875" s="27"/>
      <c r="E875" s="25"/>
      <c r="F875" s="26" t="str">
        <f>IF(E875='Tablas AR'!$B$4,1,IF('Análisis de Riesgos'!E875='Tablas AR'!$B$5,2,IF('Análisis de Riesgos'!E875='Tablas AR'!$B$6,3,"")))</f>
        <v/>
      </c>
      <c r="G875" s="25"/>
      <c r="H875" s="26" t="str">
        <f>IF(G875='Tablas AR'!$B$10,1,IF('Análisis de Riesgos'!G875='Tablas AR'!$B$11,2,IF('Análisis de Riesgos'!G875='Tablas AR'!$B$12,3,"")))</f>
        <v/>
      </c>
      <c r="I875" s="26" t="str">
        <f t="shared" si="13"/>
        <v/>
      </c>
    </row>
    <row r="876" spans="2:9" x14ac:dyDescent="0.25">
      <c r="B876" s="27" t="str">
        <f>IFERROR(INDEX(Activos!$B$3:$C$16, MATCH(C876,Activos!$B$3:$B$16),2),"")</f>
        <v/>
      </c>
      <c r="C876" s="27"/>
      <c r="D876" s="27"/>
      <c r="E876" s="25"/>
      <c r="F876" s="26" t="str">
        <f>IF(E876='Tablas AR'!$B$4,1,IF('Análisis de Riesgos'!E876='Tablas AR'!$B$5,2,IF('Análisis de Riesgos'!E876='Tablas AR'!$B$6,3,"")))</f>
        <v/>
      </c>
      <c r="G876" s="25"/>
      <c r="H876" s="26" t="str">
        <f>IF(G876='Tablas AR'!$B$10,1,IF('Análisis de Riesgos'!G876='Tablas AR'!$B$11,2,IF('Análisis de Riesgos'!G876='Tablas AR'!$B$12,3,"")))</f>
        <v/>
      </c>
      <c r="I876" s="26" t="str">
        <f t="shared" si="13"/>
        <v/>
      </c>
    </row>
    <row r="877" spans="2:9" x14ac:dyDescent="0.25">
      <c r="B877" s="27" t="str">
        <f>IFERROR(INDEX(Activos!$B$3:$C$16, MATCH(C877,Activos!$B$3:$B$16),2),"")</f>
        <v/>
      </c>
      <c r="C877" s="27"/>
      <c r="D877" s="27"/>
      <c r="E877" s="25"/>
      <c r="F877" s="26" t="str">
        <f>IF(E877='Tablas AR'!$B$4,1,IF('Análisis de Riesgos'!E877='Tablas AR'!$B$5,2,IF('Análisis de Riesgos'!E877='Tablas AR'!$B$6,3,"")))</f>
        <v/>
      </c>
      <c r="G877" s="25"/>
      <c r="H877" s="26" t="str">
        <f>IF(G877='Tablas AR'!$B$10,1,IF('Análisis de Riesgos'!G877='Tablas AR'!$B$11,2,IF('Análisis de Riesgos'!G877='Tablas AR'!$B$12,3,"")))</f>
        <v/>
      </c>
      <c r="I877" s="26" t="str">
        <f t="shared" si="13"/>
        <v/>
      </c>
    </row>
    <row r="878" spans="2:9" x14ac:dyDescent="0.25">
      <c r="B878" s="27" t="str">
        <f>IFERROR(INDEX(Activos!$B$3:$C$16, MATCH(C878,Activos!$B$3:$B$16),2),"")</f>
        <v/>
      </c>
      <c r="C878" s="27"/>
      <c r="D878" s="27"/>
      <c r="E878" s="25"/>
      <c r="F878" s="26" t="str">
        <f>IF(E878='Tablas AR'!$B$4,1,IF('Análisis de Riesgos'!E878='Tablas AR'!$B$5,2,IF('Análisis de Riesgos'!E878='Tablas AR'!$B$6,3,"")))</f>
        <v/>
      </c>
      <c r="G878" s="25"/>
      <c r="H878" s="26" t="str">
        <f>IF(G878='Tablas AR'!$B$10,1,IF('Análisis de Riesgos'!G878='Tablas AR'!$B$11,2,IF('Análisis de Riesgos'!G878='Tablas AR'!$B$12,3,"")))</f>
        <v/>
      </c>
      <c r="I878" s="26" t="str">
        <f t="shared" si="13"/>
        <v/>
      </c>
    </row>
    <row r="879" spans="2:9" x14ac:dyDescent="0.25">
      <c r="B879" s="27" t="str">
        <f>IFERROR(INDEX(Activos!$B$3:$C$16, MATCH(C879,Activos!$B$3:$B$16),2),"")</f>
        <v/>
      </c>
      <c r="C879" s="27"/>
      <c r="D879" s="27"/>
      <c r="E879" s="25"/>
      <c r="F879" s="26" t="str">
        <f>IF(E879='Tablas AR'!$B$4,1,IF('Análisis de Riesgos'!E879='Tablas AR'!$B$5,2,IF('Análisis de Riesgos'!E879='Tablas AR'!$B$6,3,"")))</f>
        <v/>
      </c>
      <c r="G879" s="25"/>
      <c r="H879" s="26" t="str">
        <f>IF(G879='Tablas AR'!$B$10,1,IF('Análisis de Riesgos'!G879='Tablas AR'!$B$11,2,IF('Análisis de Riesgos'!G879='Tablas AR'!$B$12,3,"")))</f>
        <v/>
      </c>
      <c r="I879" s="26" t="str">
        <f t="shared" si="13"/>
        <v/>
      </c>
    </row>
    <row r="880" spans="2:9" x14ac:dyDescent="0.25">
      <c r="B880" s="27" t="str">
        <f>IFERROR(INDEX(Activos!$B$3:$C$16, MATCH(C880,Activos!$B$3:$B$16),2),"")</f>
        <v/>
      </c>
      <c r="C880" s="27"/>
      <c r="D880" s="27"/>
      <c r="E880" s="25"/>
      <c r="F880" s="26" t="str">
        <f>IF(E880='Tablas AR'!$B$4,1,IF('Análisis de Riesgos'!E880='Tablas AR'!$B$5,2,IF('Análisis de Riesgos'!E880='Tablas AR'!$B$6,3,"")))</f>
        <v/>
      </c>
      <c r="G880" s="25"/>
      <c r="H880" s="26" t="str">
        <f>IF(G880='Tablas AR'!$B$10,1,IF('Análisis de Riesgos'!G880='Tablas AR'!$B$11,2,IF('Análisis de Riesgos'!G880='Tablas AR'!$B$12,3,"")))</f>
        <v/>
      </c>
      <c r="I880" s="26" t="str">
        <f t="shared" si="13"/>
        <v/>
      </c>
    </row>
    <row r="881" spans="2:9" x14ac:dyDescent="0.25">
      <c r="B881" s="27" t="str">
        <f>IFERROR(INDEX(Activos!$B$3:$C$16, MATCH(C881,Activos!$B$3:$B$16),2),"")</f>
        <v/>
      </c>
      <c r="C881" s="27"/>
      <c r="D881" s="27"/>
      <c r="E881" s="25"/>
      <c r="F881" s="26" t="str">
        <f>IF(E881='Tablas AR'!$B$4,1,IF('Análisis de Riesgos'!E881='Tablas AR'!$B$5,2,IF('Análisis de Riesgos'!E881='Tablas AR'!$B$6,3,"")))</f>
        <v/>
      </c>
      <c r="G881" s="25"/>
      <c r="H881" s="26" t="str">
        <f>IF(G881='Tablas AR'!$B$10,1,IF('Análisis de Riesgos'!G881='Tablas AR'!$B$11,2,IF('Análisis de Riesgos'!G881='Tablas AR'!$B$12,3,"")))</f>
        <v/>
      </c>
      <c r="I881" s="26" t="str">
        <f t="shared" si="13"/>
        <v/>
      </c>
    </row>
    <row r="882" spans="2:9" x14ac:dyDescent="0.25">
      <c r="B882" s="27" t="str">
        <f>IFERROR(INDEX(Activos!$B$3:$C$16, MATCH(C882,Activos!$B$3:$B$16),2),"")</f>
        <v/>
      </c>
      <c r="C882" s="27"/>
      <c r="D882" s="27"/>
      <c r="E882" s="25"/>
      <c r="F882" s="26" t="str">
        <f>IF(E882='Tablas AR'!$B$4,1,IF('Análisis de Riesgos'!E882='Tablas AR'!$B$5,2,IF('Análisis de Riesgos'!E882='Tablas AR'!$B$6,3,"")))</f>
        <v/>
      </c>
      <c r="G882" s="25"/>
      <c r="H882" s="26" t="str">
        <f>IF(G882='Tablas AR'!$B$10,1,IF('Análisis de Riesgos'!G882='Tablas AR'!$B$11,2,IF('Análisis de Riesgos'!G882='Tablas AR'!$B$12,3,"")))</f>
        <v/>
      </c>
      <c r="I882" s="26" t="str">
        <f t="shared" si="13"/>
        <v/>
      </c>
    </row>
    <row r="883" spans="2:9" x14ac:dyDescent="0.25">
      <c r="B883" s="27" t="str">
        <f>IFERROR(INDEX(Activos!$B$3:$C$16, MATCH(C883,Activos!$B$3:$B$16),2),"")</f>
        <v/>
      </c>
      <c r="C883" s="27"/>
      <c r="D883" s="27"/>
      <c r="E883" s="25"/>
      <c r="F883" s="26" t="str">
        <f>IF(E883='Tablas AR'!$B$4,1,IF('Análisis de Riesgos'!E883='Tablas AR'!$B$5,2,IF('Análisis de Riesgos'!E883='Tablas AR'!$B$6,3,"")))</f>
        <v/>
      </c>
      <c r="G883" s="25"/>
      <c r="H883" s="26" t="str">
        <f>IF(G883='Tablas AR'!$B$10,1,IF('Análisis de Riesgos'!G883='Tablas AR'!$B$11,2,IF('Análisis de Riesgos'!G883='Tablas AR'!$B$12,3,"")))</f>
        <v/>
      </c>
      <c r="I883" s="26" t="str">
        <f t="shared" si="13"/>
        <v/>
      </c>
    </row>
    <row r="884" spans="2:9" x14ac:dyDescent="0.25">
      <c r="B884" s="27" t="str">
        <f>IFERROR(INDEX(Activos!$B$3:$C$16, MATCH(C884,Activos!$B$3:$B$16),2),"")</f>
        <v/>
      </c>
      <c r="C884" s="27"/>
      <c r="D884" s="27"/>
      <c r="E884" s="25"/>
      <c r="F884" s="26" t="str">
        <f>IF(E884='Tablas AR'!$B$4,1,IF('Análisis de Riesgos'!E884='Tablas AR'!$B$5,2,IF('Análisis de Riesgos'!E884='Tablas AR'!$B$6,3,"")))</f>
        <v/>
      </c>
      <c r="G884" s="25"/>
      <c r="H884" s="26" t="str">
        <f>IF(G884='Tablas AR'!$B$10,1,IF('Análisis de Riesgos'!G884='Tablas AR'!$B$11,2,IF('Análisis de Riesgos'!G884='Tablas AR'!$B$12,3,"")))</f>
        <v/>
      </c>
      <c r="I884" s="26" t="str">
        <f t="shared" si="13"/>
        <v/>
      </c>
    </row>
    <row r="885" spans="2:9" x14ac:dyDescent="0.25">
      <c r="B885" s="27" t="str">
        <f>IFERROR(INDEX(Activos!$B$3:$C$16, MATCH(C885,Activos!$B$3:$B$16),2),"")</f>
        <v/>
      </c>
      <c r="C885" s="27"/>
      <c r="D885" s="27"/>
      <c r="E885" s="25"/>
      <c r="F885" s="26" t="str">
        <f>IF(E885='Tablas AR'!$B$4,1,IF('Análisis de Riesgos'!E885='Tablas AR'!$B$5,2,IF('Análisis de Riesgos'!E885='Tablas AR'!$B$6,3,"")))</f>
        <v/>
      </c>
      <c r="G885" s="25"/>
      <c r="H885" s="26" t="str">
        <f>IF(G885='Tablas AR'!$B$10,1,IF('Análisis de Riesgos'!G885='Tablas AR'!$B$11,2,IF('Análisis de Riesgos'!G885='Tablas AR'!$B$12,3,"")))</f>
        <v/>
      </c>
      <c r="I885" s="26" t="str">
        <f t="shared" si="13"/>
        <v/>
      </c>
    </row>
    <row r="886" spans="2:9" x14ac:dyDescent="0.25">
      <c r="B886" s="27" t="str">
        <f>IFERROR(INDEX(Activos!$B$3:$C$16, MATCH(C886,Activos!$B$3:$B$16),2),"")</f>
        <v/>
      </c>
      <c r="C886" s="27"/>
      <c r="D886" s="27"/>
      <c r="E886" s="25"/>
      <c r="F886" s="26" t="str">
        <f>IF(E886='Tablas AR'!$B$4,1,IF('Análisis de Riesgos'!E886='Tablas AR'!$B$5,2,IF('Análisis de Riesgos'!E886='Tablas AR'!$B$6,3,"")))</f>
        <v/>
      </c>
      <c r="G886" s="25"/>
      <c r="H886" s="26" t="str">
        <f>IF(G886='Tablas AR'!$B$10,1,IF('Análisis de Riesgos'!G886='Tablas AR'!$B$11,2,IF('Análisis de Riesgos'!G886='Tablas AR'!$B$12,3,"")))</f>
        <v/>
      </c>
      <c r="I886" s="26" t="str">
        <f t="shared" si="13"/>
        <v/>
      </c>
    </row>
    <row r="887" spans="2:9" x14ac:dyDescent="0.25">
      <c r="B887" s="27" t="str">
        <f>IFERROR(INDEX(Activos!$B$3:$C$16, MATCH(C887,Activos!$B$3:$B$16),2),"")</f>
        <v/>
      </c>
      <c r="C887" s="27"/>
      <c r="D887" s="27"/>
      <c r="E887" s="25"/>
      <c r="F887" s="26" t="str">
        <f>IF(E887='Tablas AR'!$B$4,1,IF('Análisis de Riesgos'!E887='Tablas AR'!$B$5,2,IF('Análisis de Riesgos'!E887='Tablas AR'!$B$6,3,"")))</f>
        <v/>
      </c>
      <c r="G887" s="25"/>
      <c r="H887" s="26" t="str">
        <f>IF(G887='Tablas AR'!$B$10,1,IF('Análisis de Riesgos'!G887='Tablas AR'!$B$11,2,IF('Análisis de Riesgos'!G887='Tablas AR'!$B$12,3,"")))</f>
        <v/>
      </c>
      <c r="I887" s="26" t="str">
        <f t="shared" si="13"/>
        <v/>
      </c>
    </row>
    <row r="888" spans="2:9" x14ac:dyDescent="0.25">
      <c r="B888" s="27" t="str">
        <f>IFERROR(INDEX(Activos!$B$3:$C$16, MATCH(C888,Activos!$B$3:$B$16),2),"")</f>
        <v/>
      </c>
      <c r="C888" s="27"/>
      <c r="D888" s="27"/>
      <c r="E888" s="25"/>
      <c r="F888" s="26" t="str">
        <f>IF(E888='Tablas AR'!$B$4,1,IF('Análisis de Riesgos'!E888='Tablas AR'!$B$5,2,IF('Análisis de Riesgos'!E888='Tablas AR'!$B$6,3,"")))</f>
        <v/>
      </c>
      <c r="G888" s="25"/>
      <c r="H888" s="26" t="str">
        <f>IF(G888='Tablas AR'!$B$10,1,IF('Análisis de Riesgos'!G888='Tablas AR'!$B$11,2,IF('Análisis de Riesgos'!G888='Tablas AR'!$B$12,3,"")))</f>
        <v/>
      </c>
      <c r="I888" s="26" t="str">
        <f t="shared" si="13"/>
        <v/>
      </c>
    </row>
    <row r="889" spans="2:9" x14ac:dyDescent="0.25">
      <c r="B889" s="27" t="str">
        <f>IFERROR(INDEX(Activos!$B$3:$C$16, MATCH(C889,Activos!$B$3:$B$16),2),"")</f>
        <v/>
      </c>
      <c r="C889" s="27"/>
      <c r="D889" s="27"/>
      <c r="E889" s="25"/>
      <c r="F889" s="26" t="str">
        <f>IF(E889='Tablas AR'!$B$4,1,IF('Análisis de Riesgos'!E889='Tablas AR'!$B$5,2,IF('Análisis de Riesgos'!E889='Tablas AR'!$B$6,3,"")))</f>
        <v/>
      </c>
      <c r="G889" s="25"/>
      <c r="H889" s="26" t="str">
        <f>IF(G889='Tablas AR'!$B$10,1,IF('Análisis de Riesgos'!G889='Tablas AR'!$B$11,2,IF('Análisis de Riesgos'!G889='Tablas AR'!$B$12,3,"")))</f>
        <v/>
      </c>
      <c r="I889" s="26" t="str">
        <f t="shared" si="13"/>
        <v/>
      </c>
    </row>
    <row r="890" spans="2:9" x14ac:dyDescent="0.25">
      <c r="B890" s="27" t="str">
        <f>IFERROR(INDEX(Activos!$B$3:$C$16, MATCH(C890,Activos!$B$3:$B$16),2),"")</f>
        <v/>
      </c>
      <c r="C890" s="27"/>
      <c r="D890" s="27"/>
      <c r="E890" s="25"/>
      <c r="F890" s="26" t="str">
        <f>IF(E890='Tablas AR'!$B$4,1,IF('Análisis de Riesgos'!E890='Tablas AR'!$B$5,2,IF('Análisis de Riesgos'!E890='Tablas AR'!$B$6,3,"")))</f>
        <v/>
      </c>
      <c r="G890" s="25"/>
      <c r="H890" s="26" t="str">
        <f>IF(G890='Tablas AR'!$B$10,1,IF('Análisis de Riesgos'!G890='Tablas AR'!$B$11,2,IF('Análisis de Riesgos'!G890='Tablas AR'!$B$12,3,"")))</f>
        <v/>
      </c>
      <c r="I890" s="26" t="str">
        <f t="shared" si="13"/>
        <v/>
      </c>
    </row>
    <row r="891" spans="2:9" x14ac:dyDescent="0.25">
      <c r="B891" s="27" t="str">
        <f>IFERROR(INDEX(Activos!$B$3:$C$16, MATCH(C891,Activos!$B$3:$B$16),2),"")</f>
        <v/>
      </c>
      <c r="C891" s="27"/>
      <c r="D891" s="27"/>
      <c r="E891" s="25"/>
      <c r="F891" s="26" t="str">
        <f>IF(E891='Tablas AR'!$B$4,1,IF('Análisis de Riesgos'!E891='Tablas AR'!$B$5,2,IF('Análisis de Riesgos'!E891='Tablas AR'!$B$6,3,"")))</f>
        <v/>
      </c>
      <c r="G891" s="25"/>
      <c r="H891" s="26" t="str">
        <f>IF(G891='Tablas AR'!$B$10,1,IF('Análisis de Riesgos'!G891='Tablas AR'!$B$11,2,IF('Análisis de Riesgos'!G891='Tablas AR'!$B$12,3,"")))</f>
        <v/>
      </c>
      <c r="I891" s="26" t="str">
        <f t="shared" si="13"/>
        <v/>
      </c>
    </row>
    <row r="892" spans="2:9" x14ac:dyDescent="0.25">
      <c r="B892" s="27" t="str">
        <f>IFERROR(INDEX(Activos!$B$3:$C$16, MATCH(C892,Activos!$B$3:$B$16),2),"")</f>
        <v/>
      </c>
      <c r="C892" s="27"/>
      <c r="D892" s="27"/>
      <c r="E892" s="25"/>
      <c r="F892" s="26" t="str">
        <f>IF(E892='Tablas AR'!$B$4,1,IF('Análisis de Riesgos'!E892='Tablas AR'!$B$5,2,IF('Análisis de Riesgos'!E892='Tablas AR'!$B$6,3,"")))</f>
        <v/>
      </c>
      <c r="G892" s="25"/>
      <c r="H892" s="26" t="str">
        <f>IF(G892='Tablas AR'!$B$10,1,IF('Análisis de Riesgos'!G892='Tablas AR'!$B$11,2,IF('Análisis de Riesgos'!G892='Tablas AR'!$B$12,3,"")))</f>
        <v/>
      </c>
      <c r="I892" s="26" t="str">
        <f t="shared" si="13"/>
        <v/>
      </c>
    </row>
    <row r="893" spans="2:9" x14ac:dyDescent="0.25">
      <c r="B893" s="27" t="str">
        <f>IFERROR(INDEX(Activos!$B$3:$C$16, MATCH(C893,Activos!$B$3:$B$16),2),"")</f>
        <v/>
      </c>
      <c r="C893" s="27"/>
      <c r="D893" s="27"/>
      <c r="E893" s="25"/>
      <c r="F893" s="26" t="str">
        <f>IF(E893='Tablas AR'!$B$4,1,IF('Análisis de Riesgos'!E893='Tablas AR'!$B$5,2,IF('Análisis de Riesgos'!E893='Tablas AR'!$B$6,3,"")))</f>
        <v/>
      </c>
      <c r="G893" s="25"/>
      <c r="H893" s="26" t="str">
        <f>IF(G893='Tablas AR'!$B$10,1,IF('Análisis de Riesgos'!G893='Tablas AR'!$B$11,2,IF('Análisis de Riesgos'!G893='Tablas AR'!$B$12,3,"")))</f>
        <v/>
      </c>
      <c r="I893" s="26" t="str">
        <f t="shared" si="13"/>
        <v/>
      </c>
    </row>
    <row r="894" spans="2:9" x14ac:dyDescent="0.25">
      <c r="B894" s="27" t="str">
        <f>IFERROR(INDEX(Activos!$B$3:$C$16, MATCH(C894,Activos!$B$3:$B$16),2),"")</f>
        <v/>
      </c>
      <c r="C894" s="27"/>
      <c r="D894" s="27"/>
      <c r="E894" s="25"/>
      <c r="F894" s="26" t="str">
        <f>IF(E894='Tablas AR'!$B$4,1,IF('Análisis de Riesgos'!E894='Tablas AR'!$B$5,2,IF('Análisis de Riesgos'!E894='Tablas AR'!$B$6,3,"")))</f>
        <v/>
      </c>
      <c r="G894" s="25"/>
      <c r="H894" s="26" t="str">
        <f>IF(G894='Tablas AR'!$B$10,1,IF('Análisis de Riesgos'!G894='Tablas AR'!$B$11,2,IF('Análisis de Riesgos'!G894='Tablas AR'!$B$12,3,"")))</f>
        <v/>
      </c>
      <c r="I894" s="26" t="str">
        <f t="shared" si="13"/>
        <v/>
      </c>
    </row>
    <row r="895" spans="2:9" x14ac:dyDescent="0.25">
      <c r="B895" s="27" t="str">
        <f>IFERROR(INDEX(Activos!$B$3:$C$16, MATCH(C895,Activos!$B$3:$B$16),2),"")</f>
        <v/>
      </c>
      <c r="C895" s="27"/>
      <c r="D895" s="27"/>
      <c r="E895" s="25"/>
      <c r="F895" s="26" t="str">
        <f>IF(E895='Tablas AR'!$B$4,1,IF('Análisis de Riesgos'!E895='Tablas AR'!$B$5,2,IF('Análisis de Riesgos'!E895='Tablas AR'!$B$6,3,"")))</f>
        <v/>
      </c>
      <c r="G895" s="25"/>
      <c r="H895" s="26" t="str">
        <f>IF(G895='Tablas AR'!$B$10,1,IF('Análisis de Riesgos'!G895='Tablas AR'!$B$11,2,IF('Análisis de Riesgos'!G895='Tablas AR'!$B$12,3,"")))</f>
        <v/>
      </c>
      <c r="I895" s="26" t="str">
        <f t="shared" si="13"/>
        <v/>
      </c>
    </row>
    <row r="896" spans="2:9" x14ac:dyDescent="0.25">
      <c r="B896" s="27" t="str">
        <f>IFERROR(INDEX(Activos!$B$3:$C$16, MATCH(C896,Activos!$B$3:$B$16),2),"")</f>
        <v/>
      </c>
      <c r="C896" s="27"/>
      <c r="D896" s="27"/>
      <c r="E896" s="25"/>
      <c r="F896" s="26" t="str">
        <f>IF(E896='Tablas AR'!$B$4,1,IF('Análisis de Riesgos'!E896='Tablas AR'!$B$5,2,IF('Análisis de Riesgos'!E896='Tablas AR'!$B$6,3,"")))</f>
        <v/>
      </c>
      <c r="G896" s="25"/>
      <c r="H896" s="26" t="str">
        <f>IF(G896='Tablas AR'!$B$10,1,IF('Análisis de Riesgos'!G896='Tablas AR'!$B$11,2,IF('Análisis de Riesgos'!G896='Tablas AR'!$B$12,3,"")))</f>
        <v/>
      </c>
      <c r="I896" s="26" t="str">
        <f t="shared" si="13"/>
        <v/>
      </c>
    </row>
    <row r="897" spans="2:9" x14ac:dyDescent="0.25">
      <c r="B897" s="27" t="str">
        <f>IFERROR(INDEX(Activos!$B$3:$C$16, MATCH(C897,Activos!$B$3:$B$16),2),"")</f>
        <v/>
      </c>
      <c r="C897" s="27"/>
      <c r="D897" s="27"/>
      <c r="E897" s="25"/>
      <c r="F897" s="26" t="str">
        <f>IF(E897='Tablas AR'!$B$4,1,IF('Análisis de Riesgos'!E897='Tablas AR'!$B$5,2,IF('Análisis de Riesgos'!E897='Tablas AR'!$B$6,3,"")))</f>
        <v/>
      </c>
      <c r="G897" s="25"/>
      <c r="H897" s="26" t="str">
        <f>IF(G897='Tablas AR'!$B$10,1,IF('Análisis de Riesgos'!G897='Tablas AR'!$B$11,2,IF('Análisis de Riesgos'!G897='Tablas AR'!$B$12,3,"")))</f>
        <v/>
      </c>
      <c r="I897" s="26" t="str">
        <f t="shared" si="13"/>
        <v/>
      </c>
    </row>
    <row r="898" spans="2:9" x14ac:dyDescent="0.25">
      <c r="B898" s="27" t="str">
        <f>IFERROR(INDEX(Activos!$B$3:$C$16, MATCH(C898,Activos!$B$3:$B$16),2),"")</f>
        <v/>
      </c>
      <c r="C898" s="27"/>
      <c r="D898" s="27"/>
      <c r="E898" s="25"/>
      <c r="F898" s="26" t="str">
        <f>IF(E898='Tablas AR'!$B$4,1,IF('Análisis de Riesgos'!E898='Tablas AR'!$B$5,2,IF('Análisis de Riesgos'!E898='Tablas AR'!$B$6,3,"")))</f>
        <v/>
      </c>
      <c r="G898" s="25"/>
      <c r="H898" s="26" t="str">
        <f>IF(G898='Tablas AR'!$B$10,1,IF('Análisis de Riesgos'!G898='Tablas AR'!$B$11,2,IF('Análisis de Riesgos'!G898='Tablas AR'!$B$12,3,"")))</f>
        <v/>
      </c>
      <c r="I898" s="26" t="str">
        <f t="shared" si="13"/>
        <v/>
      </c>
    </row>
    <row r="899" spans="2:9" x14ac:dyDescent="0.25">
      <c r="B899" s="27" t="str">
        <f>IFERROR(INDEX(Activos!$B$3:$C$16, MATCH(C899,Activos!$B$3:$B$16),2),"")</f>
        <v/>
      </c>
      <c r="C899" s="27"/>
      <c r="D899" s="27"/>
      <c r="E899" s="25"/>
      <c r="F899" s="26" t="str">
        <f>IF(E899='Tablas AR'!$B$4,1,IF('Análisis de Riesgos'!E899='Tablas AR'!$B$5,2,IF('Análisis de Riesgos'!E899='Tablas AR'!$B$6,3,"")))</f>
        <v/>
      </c>
      <c r="G899" s="25"/>
      <c r="H899" s="26" t="str">
        <f>IF(G899='Tablas AR'!$B$10,1,IF('Análisis de Riesgos'!G899='Tablas AR'!$B$11,2,IF('Análisis de Riesgos'!G899='Tablas AR'!$B$12,3,"")))</f>
        <v/>
      </c>
      <c r="I899" s="26" t="str">
        <f t="shared" si="13"/>
        <v/>
      </c>
    </row>
    <row r="900" spans="2:9" x14ac:dyDescent="0.25">
      <c r="B900" s="27" t="str">
        <f>IFERROR(INDEX(Activos!$B$3:$C$16, MATCH(C900,Activos!$B$3:$B$16),2),"")</f>
        <v/>
      </c>
      <c r="C900" s="27"/>
      <c r="D900" s="27"/>
      <c r="E900" s="25"/>
      <c r="F900" s="26" t="str">
        <f>IF(E900='Tablas AR'!$B$4,1,IF('Análisis de Riesgos'!E900='Tablas AR'!$B$5,2,IF('Análisis de Riesgos'!E900='Tablas AR'!$B$6,3,"")))</f>
        <v/>
      </c>
      <c r="G900" s="25"/>
      <c r="H900" s="26" t="str">
        <f>IF(G900='Tablas AR'!$B$10,1,IF('Análisis de Riesgos'!G900='Tablas AR'!$B$11,2,IF('Análisis de Riesgos'!G900='Tablas AR'!$B$12,3,"")))</f>
        <v/>
      </c>
      <c r="I900" s="26" t="str">
        <f t="shared" ref="I900:I931" si="14" xml:space="preserve"> IFERROR(F900*H900,"")</f>
        <v/>
      </c>
    </row>
    <row r="901" spans="2:9" x14ac:dyDescent="0.25">
      <c r="B901" s="27" t="str">
        <f>IFERROR(INDEX(Activos!$B$3:$C$16, MATCH(C901,Activos!$B$3:$B$16),2),"")</f>
        <v/>
      </c>
      <c r="C901" s="27"/>
      <c r="D901" s="27"/>
      <c r="E901" s="25"/>
      <c r="F901" s="26" t="str">
        <f>IF(E901='Tablas AR'!$B$4,1,IF('Análisis de Riesgos'!E901='Tablas AR'!$B$5,2,IF('Análisis de Riesgos'!E901='Tablas AR'!$B$6,3,"")))</f>
        <v/>
      </c>
      <c r="G901" s="25"/>
      <c r="H901" s="26" t="str">
        <f>IF(G901='Tablas AR'!$B$10,1,IF('Análisis de Riesgos'!G901='Tablas AR'!$B$11,2,IF('Análisis de Riesgos'!G901='Tablas AR'!$B$12,3,"")))</f>
        <v/>
      </c>
      <c r="I901" s="26" t="str">
        <f t="shared" si="14"/>
        <v/>
      </c>
    </row>
    <row r="902" spans="2:9" x14ac:dyDescent="0.25">
      <c r="B902" s="27" t="str">
        <f>IFERROR(INDEX(Activos!$B$3:$C$16, MATCH(C902,Activos!$B$3:$B$16),2),"")</f>
        <v/>
      </c>
      <c r="C902" s="27"/>
      <c r="D902" s="27"/>
      <c r="E902" s="25"/>
      <c r="F902" s="26" t="str">
        <f>IF(E902='Tablas AR'!$B$4,1,IF('Análisis de Riesgos'!E902='Tablas AR'!$B$5,2,IF('Análisis de Riesgos'!E902='Tablas AR'!$B$6,3,"")))</f>
        <v/>
      </c>
      <c r="G902" s="25"/>
      <c r="H902" s="26" t="str">
        <f>IF(G902='Tablas AR'!$B$10,1,IF('Análisis de Riesgos'!G902='Tablas AR'!$B$11,2,IF('Análisis de Riesgos'!G902='Tablas AR'!$B$12,3,"")))</f>
        <v/>
      </c>
      <c r="I902" s="26" t="str">
        <f t="shared" si="14"/>
        <v/>
      </c>
    </row>
    <row r="903" spans="2:9" x14ac:dyDescent="0.25">
      <c r="B903" s="27" t="str">
        <f>IFERROR(INDEX(Activos!$B$3:$C$16, MATCH(C903,Activos!$B$3:$B$16),2),"")</f>
        <v/>
      </c>
      <c r="C903" s="27"/>
      <c r="D903" s="27"/>
      <c r="E903" s="25"/>
      <c r="F903" s="26" t="str">
        <f>IF(E903='Tablas AR'!$B$4,1,IF('Análisis de Riesgos'!E903='Tablas AR'!$B$5,2,IF('Análisis de Riesgos'!E903='Tablas AR'!$B$6,3,"")))</f>
        <v/>
      </c>
      <c r="G903" s="25"/>
      <c r="H903" s="26" t="str">
        <f>IF(G903='Tablas AR'!$B$10,1,IF('Análisis de Riesgos'!G903='Tablas AR'!$B$11,2,IF('Análisis de Riesgos'!G903='Tablas AR'!$B$12,3,"")))</f>
        <v/>
      </c>
      <c r="I903" s="26" t="str">
        <f t="shared" si="14"/>
        <v/>
      </c>
    </row>
    <row r="904" spans="2:9" x14ac:dyDescent="0.25">
      <c r="B904" s="27" t="str">
        <f>IFERROR(INDEX(Activos!$B$3:$C$16, MATCH(C904,Activos!$B$3:$B$16),2),"")</f>
        <v/>
      </c>
      <c r="C904" s="27"/>
      <c r="D904" s="27"/>
      <c r="E904" s="25"/>
      <c r="F904" s="26" t="str">
        <f>IF(E904='Tablas AR'!$B$4,1,IF('Análisis de Riesgos'!E904='Tablas AR'!$B$5,2,IF('Análisis de Riesgos'!E904='Tablas AR'!$B$6,3,"")))</f>
        <v/>
      </c>
      <c r="G904" s="25"/>
      <c r="H904" s="26" t="str">
        <f>IF(G904='Tablas AR'!$B$10,1,IF('Análisis de Riesgos'!G904='Tablas AR'!$B$11,2,IF('Análisis de Riesgos'!G904='Tablas AR'!$B$12,3,"")))</f>
        <v/>
      </c>
      <c r="I904" s="26" t="str">
        <f t="shared" si="14"/>
        <v/>
      </c>
    </row>
    <row r="905" spans="2:9" x14ac:dyDescent="0.25">
      <c r="B905" s="27" t="str">
        <f>IFERROR(INDEX(Activos!$B$3:$C$16, MATCH(C905,Activos!$B$3:$B$16),2),"")</f>
        <v/>
      </c>
      <c r="C905" s="27"/>
      <c r="D905" s="27"/>
      <c r="E905" s="25"/>
      <c r="F905" s="26" t="str">
        <f>IF(E905='Tablas AR'!$B$4,1,IF('Análisis de Riesgos'!E905='Tablas AR'!$B$5,2,IF('Análisis de Riesgos'!E905='Tablas AR'!$B$6,3,"")))</f>
        <v/>
      </c>
      <c r="G905" s="25"/>
      <c r="H905" s="26" t="str">
        <f>IF(G905='Tablas AR'!$B$10,1,IF('Análisis de Riesgos'!G905='Tablas AR'!$B$11,2,IF('Análisis de Riesgos'!G905='Tablas AR'!$B$12,3,"")))</f>
        <v/>
      </c>
      <c r="I905" s="26" t="str">
        <f t="shared" si="14"/>
        <v/>
      </c>
    </row>
    <row r="906" spans="2:9" x14ac:dyDescent="0.25">
      <c r="B906" s="27" t="str">
        <f>IFERROR(INDEX(Activos!$B$3:$C$16, MATCH(C906,Activos!$B$3:$B$16),2),"")</f>
        <v/>
      </c>
      <c r="C906" s="27"/>
      <c r="D906" s="27"/>
      <c r="E906" s="25"/>
      <c r="F906" s="26" t="str">
        <f>IF(E906='Tablas AR'!$B$4,1,IF('Análisis de Riesgos'!E906='Tablas AR'!$B$5,2,IF('Análisis de Riesgos'!E906='Tablas AR'!$B$6,3,"")))</f>
        <v/>
      </c>
      <c r="G906" s="25"/>
      <c r="H906" s="26" t="str">
        <f>IF(G906='Tablas AR'!$B$10,1,IF('Análisis de Riesgos'!G906='Tablas AR'!$B$11,2,IF('Análisis de Riesgos'!G906='Tablas AR'!$B$12,3,"")))</f>
        <v/>
      </c>
      <c r="I906" s="26" t="str">
        <f t="shared" si="14"/>
        <v/>
      </c>
    </row>
    <row r="907" spans="2:9" x14ac:dyDescent="0.25">
      <c r="B907" s="27" t="str">
        <f>IFERROR(INDEX(Activos!$B$3:$C$16, MATCH(C907,Activos!$B$3:$B$16),2),"")</f>
        <v/>
      </c>
      <c r="C907" s="27"/>
      <c r="D907" s="27"/>
      <c r="E907" s="25"/>
      <c r="F907" s="26" t="str">
        <f>IF(E907='Tablas AR'!$B$4,1,IF('Análisis de Riesgos'!E907='Tablas AR'!$B$5,2,IF('Análisis de Riesgos'!E907='Tablas AR'!$B$6,3,"")))</f>
        <v/>
      </c>
      <c r="G907" s="25"/>
      <c r="H907" s="26" t="str">
        <f>IF(G907='Tablas AR'!$B$10,1,IF('Análisis de Riesgos'!G907='Tablas AR'!$B$11,2,IF('Análisis de Riesgos'!G907='Tablas AR'!$B$12,3,"")))</f>
        <v/>
      </c>
      <c r="I907" s="26" t="str">
        <f t="shared" si="14"/>
        <v/>
      </c>
    </row>
    <row r="908" spans="2:9" x14ac:dyDescent="0.25">
      <c r="B908" s="27" t="str">
        <f>IFERROR(INDEX(Activos!$B$3:$C$16, MATCH(C908,Activos!$B$3:$B$16),2),"")</f>
        <v/>
      </c>
      <c r="C908" s="27"/>
      <c r="D908" s="27"/>
      <c r="E908" s="25"/>
      <c r="F908" s="26" t="str">
        <f>IF(E908='Tablas AR'!$B$4,1,IF('Análisis de Riesgos'!E908='Tablas AR'!$B$5,2,IF('Análisis de Riesgos'!E908='Tablas AR'!$B$6,3,"")))</f>
        <v/>
      </c>
      <c r="G908" s="25"/>
      <c r="H908" s="26" t="str">
        <f>IF(G908='Tablas AR'!$B$10,1,IF('Análisis de Riesgos'!G908='Tablas AR'!$B$11,2,IF('Análisis de Riesgos'!G908='Tablas AR'!$B$12,3,"")))</f>
        <v/>
      </c>
      <c r="I908" s="26" t="str">
        <f t="shared" si="14"/>
        <v/>
      </c>
    </row>
    <row r="909" spans="2:9" x14ac:dyDescent="0.25">
      <c r="B909" s="27" t="str">
        <f>IFERROR(INDEX(Activos!$B$3:$C$16, MATCH(C909,Activos!$B$3:$B$16),2),"")</f>
        <v/>
      </c>
      <c r="C909" s="27"/>
      <c r="D909" s="27"/>
      <c r="E909" s="25"/>
      <c r="F909" s="26" t="str">
        <f>IF(E909='Tablas AR'!$B$4,1,IF('Análisis de Riesgos'!E909='Tablas AR'!$B$5,2,IF('Análisis de Riesgos'!E909='Tablas AR'!$B$6,3,"")))</f>
        <v/>
      </c>
      <c r="G909" s="25"/>
      <c r="H909" s="26" t="str">
        <f>IF(G909='Tablas AR'!$B$10,1,IF('Análisis de Riesgos'!G909='Tablas AR'!$B$11,2,IF('Análisis de Riesgos'!G909='Tablas AR'!$B$12,3,"")))</f>
        <v/>
      </c>
      <c r="I909" s="26" t="str">
        <f t="shared" si="14"/>
        <v/>
      </c>
    </row>
    <row r="910" spans="2:9" x14ac:dyDescent="0.25">
      <c r="B910" s="27" t="str">
        <f>IFERROR(INDEX(Activos!$B$3:$C$16, MATCH(C910,Activos!$B$3:$B$16),2),"")</f>
        <v/>
      </c>
      <c r="C910" s="27"/>
      <c r="D910" s="27"/>
      <c r="E910" s="25"/>
      <c r="F910" s="26" t="str">
        <f>IF(E910='Tablas AR'!$B$4,1,IF('Análisis de Riesgos'!E910='Tablas AR'!$B$5,2,IF('Análisis de Riesgos'!E910='Tablas AR'!$B$6,3,"")))</f>
        <v/>
      </c>
      <c r="G910" s="25"/>
      <c r="H910" s="26" t="str">
        <f>IF(G910='Tablas AR'!$B$10,1,IF('Análisis de Riesgos'!G910='Tablas AR'!$B$11,2,IF('Análisis de Riesgos'!G910='Tablas AR'!$B$12,3,"")))</f>
        <v/>
      </c>
      <c r="I910" s="26" t="str">
        <f t="shared" si="14"/>
        <v/>
      </c>
    </row>
    <row r="911" spans="2:9" x14ac:dyDescent="0.25">
      <c r="B911" s="27" t="str">
        <f>IFERROR(INDEX(Activos!$B$3:$C$16, MATCH(C911,Activos!$B$3:$B$16),2),"")</f>
        <v/>
      </c>
      <c r="C911" s="27"/>
      <c r="D911" s="27"/>
      <c r="E911" s="25"/>
      <c r="F911" s="26" t="str">
        <f>IF(E911='Tablas AR'!$B$4,1,IF('Análisis de Riesgos'!E911='Tablas AR'!$B$5,2,IF('Análisis de Riesgos'!E911='Tablas AR'!$B$6,3,"")))</f>
        <v/>
      </c>
      <c r="G911" s="25"/>
      <c r="H911" s="26" t="str">
        <f>IF(G911='Tablas AR'!$B$10,1,IF('Análisis de Riesgos'!G911='Tablas AR'!$B$11,2,IF('Análisis de Riesgos'!G911='Tablas AR'!$B$12,3,"")))</f>
        <v/>
      </c>
      <c r="I911" s="26" t="str">
        <f t="shared" si="14"/>
        <v/>
      </c>
    </row>
    <row r="912" spans="2:9" x14ac:dyDescent="0.25">
      <c r="B912" s="27" t="str">
        <f>IFERROR(INDEX(Activos!$B$3:$C$16, MATCH(C912,Activos!$B$3:$B$16),2),"")</f>
        <v/>
      </c>
      <c r="C912" s="27"/>
      <c r="D912" s="27"/>
      <c r="E912" s="25"/>
      <c r="F912" s="26" t="str">
        <f>IF(E912='Tablas AR'!$B$4,1,IF('Análisis de Riesgos'!E912='Tablas AR'!$B$5,2,IF('Análisis de Riesgos'!E912='Tablas AR'!$B$6,3,"")))</f>
        <v/>
      </c>
      <c r="G912" s="25"/>
      <c r="H912" s="26" t="str">
        <f>IF(G912='Tablas AR'!$B$10,1,IF('Análisis de Riesgos'!G912='Tablas AR'!$B$11,2,IF('Análisis de Riesgos'!G912='Tablas AR'!$B$12,3,"")))</f>
        <v/>
      </c>
      <c r="I912" s="26" t="str">
        <f t="shared" si="14"/>
        <v/>
      </c>
    </row>
    <row r="913" spans="2:9" x14ac:dyDescent="0.25">
      <c r="B913" s="27" t="str">
        <f>IFERROR(INDEX(Activos!$B$3:$C$16, MATCH(C913,Activos!$B$3:$B$16),2),"")</f>
        <v/>
      </c>
      <c r="C913" s="27"/>
      <c r="D913" s="27"/>
      <c r="E913" s="25"/>
      <c r="F913" s="26" t="str">
        <f>IF(E913='Tablas AR'!$B$4,1,IF('Análisis de Riesgos'!E913='Tablas AR'!$B$5,2,IF('Análisis de Riesgos'!E913='Tablas AR'!$B$6,3,"")))</f>
        <v/>
      </c>
      <c r="G913" s="25"/>
      <c r="H913" s="26" t="str">
        <f>IF(G913='Tablas AR'!$B$10,1,IF('Análisis de Riesgos'!G913='Tablas AR'!$B$11,2,IF('Análisis de Riesgos'!G913='Tablas AR'!$B$12,3,"")))</f>
        <v/>
      </c>
      <c r="I913" s="26" t="str">
        <f t="shared" si="14"/>
        <v/>
      </c>
    </row>
    <row r="914" spans="2:9" x14ac:dyDescent="0.25">
      <c r="B914" s="27" t="str">
        <f>IFERROR(INDEX(Activos!$B$3:$C$16, MATCH(C914,Activos!$B$3:$B$16),2),"")</f>
        <v/>
      </c>
      <c r="C914" s="27"/>
      <c r="D914" s="27"/>
      <c r="E914" s="25"/>
      <c r="F914" s="26" t="str">
        <f>IF(E914='Tablas AR'!$B$4,1,IF('Análisis de Riesgos'!E914='Tablas AR'!$B$5,2,IF('Análisis de Riesgos'!E914='Tablas AR'!$B$6,3,"")))</f>
        <v/>
      </c>
      <c r="G914" s="25"/>
      <c r="H914" s="26" t="str">
        <f>IF(G914='Tablas AR'!$B$10,1,IF('Análisis de Riesgos'!G914='Tablas AR'!$B$11,2,IF('Análisis de Riesgos'!G914='Tablas AR'!$B$12,3,"")))</f>
        <v/>
      </c>
      <c r="I914" s="26" t="str">
        <f t="shared" si="14"/>
        <v/>
      </c>
    </row>
    <row r="915" spans="2:9" x14ac:dyDescent="0.25">
      <c r="B915" s="27" t="str">
        <f>IFERROR(INDEX(Activos!$B$3:$C$16, MATCH(C915,Activos!$B$3:$B$16),2),"")</f>
        <v/>
      </c>
      <c r="C915" s="27"/>
      <c r="D915" s="27"/>
      <c r="E915" s="25"/>
      <c r="F915" s="26" t="str">
        <f>IF(E915='Tablas AR'!$B$4,1,IF('Análisis de Riesgos'!E915='Tablas AR'!$B$5,2,IF('Análisis de Riesgos'!E915='Tablas AR'!$B$6,3,"")))</f>
        <v/>
      </c>
      <c r="G915" s="25"/>
      <c r="H915" s="26" t="str">
        <f>IF(G915='Tablas AR'!$B$10,1,IF('Análisis de Riesgos'!G915='Tablas AR'!$B$11,2,IF('Análisis de Riesgos'!G915='Tablas AR'!$B$12,3,"")))</f>
        <v/>
      </c>
      <c r="I915" s="26" t="str">
        <f t="shared" si="14"/>
        <v/>
      </c>
    </row>
    <row r="916" spans="2:9" x14ac:dyDescent="0.25">
      <c r="B916" s="27" t="str">
        <f>IFERROR(INDEX(Activos!$B$3:$C$16, MATCH(C916,Activos!$B$3:$B$16),2),"")</f>
        <v/>
      </c>
      <c r="C916" s="27"/>
      <c r="D916" s="27"/>
      <c r="E916" s="25"/>
      <c r="F916" s="26" t="str">
        <f>IF(E916='Tablas AR'!$B$4,1,IF('Análisis de Riesgos'!E916='Tablas AR'!$B$5,2,IF('Análisis de Riesgos'!E916='Tablas AR'!$B$6,3,"")))</f>
        <v/>
      </c>
      <c r="G916" s="25"/>
      <c r="H916" s="26" t="str">
        <f>IF(G916='Tablas AR'!$B$10,1,IF('Análisis de Riesgos'!G916='Tablas AR'!$B$11,2,IF('Análisis de Riesgos'!G916='Tablas AR'!$B$12,3,"")))</f>
        <v/>
      </c>
      <c r="I916" s="26" t="str">
        <f t="shared" si="14"/>
        <v/>
      </c>
    </row>
    <row r="917" spans="2:9" x14ac:dyDescent="0.25">
      <c r="B917" s="27" t="str">
        <f>IFERROR(INDEX(Activos!$B$3:$C$16, MATCH(C917,Activos!$B$3:$B$16),2),"")</f>
        <v/>
      </c>
      <c r="C917" s="27"/>
      <c r="D917" s="27"/>
      <c r="E917" s="25"/>
      <c r="F917" s="26" t="str">
        <f>IF(E917='Tablas AR'!$B$4,1,IF('Análisis de Riesgos'!E917='Tablas AR'!$B$5,2,IF('Análisis de Riesgos'!E917='Tablas AR'!$B$6,3,"")))</f>
        <v/>
      </c>
      <c r="G917" s="25"/>
      <c r="H917" s="26" t="str">
        <f>IF(G917='Tablas AR'!$B$10,1,IF('Análisis de Riesgos'!G917='Tablas AR'!$B$11,2,IF('Análisis de Riesgos'!G917='Tablas AR'!$B$12,3,"")))</f>
        <v/>
      </c>
      <c r="I917" s="26" t="str">
        <f t="shared" si="14"/>
        <v/>
      </c>
    </row>
    <row r="918" spans="2:9" x14ac:dyDescent="0.25">
      <c r="B918" s="27" t="str">
        <f>IFERROR(INDEX(Activos!$B$3:$C$16, MATCH(C918,Activos!$B$3:$B$16),2),"")</f>
        <v/>
      </c>
      <c r="C918" s="27"/>
      <c r="D918" s="27"/>
      <c r="E918" s="25"/>
      <c r="F918" s="26" t="str">
        <f>IF(E918='Tablas AR'!$B$4,1,IF('Análisis de Riesgos'!E918='Tablas AR'!$B$5,2,IF('Análisis de Riesgos'!E918='Tablas AR'!$B$6,3,"")))</f>
        <v/>
      </c>
      <c r="G918" s="25"/>
      <c r="H918" s="26" t="str">
        <f>IF(G918='Tablas AR'!$B$10,1,IF('Análisis de Riesgos'!G918='Tablas AR'!$B$11,2,IF('Análisis de Riesgos'!G918='Tablas AR'!$B$12,3,"")))</f>
        <v/>
      </c>
      <c r="I918" s="26" t="str">
        <f t="shared" si="14"/>
        <v/>
      </c>
    </row>
    <row r="919" spans="2:9" x14ac:dyDescent="0.25">
      <c r="B919" s="27" t="str">
        <f>IFERROR(INDEX(Activos!$B$3:$C$16, MATCH(C919,Activos!$B$3:$B$16),2),"")</f>
        <v/>
      </c>
      <c r="C919" s="27"/>
      <c r="D919" s="27"/>
      <c r="E919" s="25"/>
      <c r="F919" s="26" t="str">
        <f>IF(E919='Tablas AR'!$B$4,1,IF('Análisis de Riesgos'!E919='Tablas AR'!$B$5,2,IF('Análisis de Riesgos'!E919='Tablas AR'!$B$6,3,"")))</f>
        <v/>
      </c>
      <c r="G919" s="25"/>
      <c r="H919" s="26" t="str">
        <f>IF(G919='Tablas AR'!$B$10,1,IF('Análisis de Riesgos'!G919='Tablas AR'!$B$11,2,IF('Análisis de Riesgos'!G919='Tablas AR'!$B$12,3,"")))</f>
        <v/>
      </c>
      <c r="I919" s="26" t="str">
        <f t="shared" si="14"/>
        <v/>
      </c>
    </row>
    <row r="920" spans="2:9" x14ac:dyDescent="0.25">
      <c r="B920" s="27" t="str">
        <f>IFERROR(INDEX(Activos!$B$3:$C$16, MATCH(C920,Activos!$B$3:$B$16),2),"")</f>
        <v/>
      </c>
      <c r="C920" s="27"/>
      <c r="D920" s="27"/>
      <c r="E920" s="25"/>
      <c r="F920" s="26" t="str">
        <f>IF(E920='Tablas AR'!$B$4,1,IF('Análisis de Riesgos'!E920='Tablas AR'!$B$5,2,IF('Análisis de Riesgos'!E920='Tablas AR'!$B$6,3,"")))</f>
        <v/>
      </c>
      <c r="G920" s="25"/>
      <c r="H920" s="26" t="str">
        <f>IF(G920='Tablas AR'!$B$10,1,IF('Análisis de Riesgos'!G920='Tablas AR'!$B$11,2,IF('Análisis de Riesgos'!G920='Tablas AR'!$B$12,3,"")))</f>
        <v/>
      </c>
      <c r="I920" s="26" t="str">
        <f t="shared" si="14"/>
        <v/>
      </c>
    </row>
    <row r="921" spans="2:9" x14ac:dyDescent="0.25">
      <c r="B921" s="27" t="str">
        <f>IFERROR(INDEX(Activos!$B$3:$C$16, MATCH(C921,Activos!$B$3:$B$16),2),"")</f>
        <v/>
      </c>
      <c r="C921" s="27"/>
      <c r="D921" s="27"/>
      <c r="E921" s="25"/>
      <c r="F921" s="26" t="str">
        <f>IF(E921='Tablas AR'!$B$4,1,IF('Análisis de Riesgos'!E921='Tablas AR'!$B$5,2,IF('Análisis de Riesgos'!E921='Tablas AR'!$B$6,3,"")))</f>
        <v/>
      </c>
      <c r="G921" s="25"/>
      <c r="H921" s="26" t="str">
        <f>IF(G921='Tablas AR'!$B$10,1,IF('Análisis de Riesgos'!G921='Tablas AR'!$B$11,2,IF('Análisis de Riesgos'!G921='Tablas AR'!$B$12,3,"")))</f>
        <v/>
      </c>
      <c r="I921" s="26" t="str">
        <f t="shared" si="14"/>
        <v/>
      </c>
    </row>
    <row r="922" spans="2:9" x14ac:dyDescent="0.25">
      <c r="B922" s="27" t="str">
        <f>IFERROR(INDEX(Activos!$B$3:$C$16, MATCH(C922,Activos!$B$3:$B$16),2),"")</f>
        <v/>
      </c>
      <c r="C922" s="27"/>
      <c r="D922" s="27"/>
      <c r="E922" s="25"/>
      <c r="F922" s="26" t="str">
        <f>IF(E922='Tablas AR'!$B$4,1,IF('Análisis de Riesgos'!E922='Tablas AR'!$B$5,2,IF('Análisis de Riesgos'!E922='Tablas AR'!$B$6,3,"")))</f>
        <v/>
      </c>
      <c r="G922" s="25"/>
      <c r="H922" s="26" t="str">
        <f>IF(G922='Tablas AR'!$B$10,1,IF('Análisis de Riesgos'!G922='Tablas AR'!$B$11,2,IF('Análisis de Riesgos'!G922='Tablas AR'!$B$12,3,"")))</f>
        <v/>
      </c>
      <c r="I922" s="26" t="str">
        <f t="shared" si="14"/>
        <v/>
      </c>
    </row>
    <row r="923" spans="2:9" x14ac:dyDescent="0.25">
      <c r="B923" s="27" t="str">
        <f>IFERROR(INDEX(Activos!$B$3:$C$16, MATCH(C923,Activos!$B$3:$B$16),2),"")</f>
        <v/>
      </c>
      <c r="C923" s="27"/>
      <c r="D923" s="27"/>
      <c r="E923" s="25"/>
      <c r="F923" s="26" t="str">
        <f>IF(E923='Tablas AR'!$B$4,1,IF('Análisis de Riesgos'!E923='Tablas AR'!$B$5,2,IF('Análisis de Riesgos'!E923='Tablas AR'!$B$6,3,"")))</f>
        <v/>
      </c>
      <c r="G923" s="25"/>
      <c r="H923" s="26" t="str">
        <f>IF(G923='Tablas AR'!$B$10,1,IF('Análisis de Riesgos'!G923='Tablas AR'!$B$11,2,IF('Análisis de Riesgos'!G923='Tablas AR'!$B$12,3,"")))</f>
        <v/>
      </c>
      <c r="I923" s="26" t="str">
        <f t="shared" si="14"/>
        <v/>
      </c>
    </row>
    <row r="924" spans="2:9" x14ac:dyDescent="0.25">
      <c r="B924" s="27" t="str">
        <f>IFERROR(INDEX(Activos!$B$3:$C$16, MATCH(C924,Activos!$B$3:$B$16),2),"")</f>
        <v/>
      </c>
      <c r="C924" s="27"/>
      <c r="D924" s="27"/>
      <c r="E924" s="25"/>
      <c r="F924" s="26" t="str">
        <f>IF(E924='Tablas AR'!$B$4,1,IF('Análisis de Riesgos'!E924='Tablas AR'!$B$5,2,IF('Análisis de Riesgos'!E924='Tablas AR'!$B$6,3,"")))</f>
        <v/>
      </c>
      <c r="G924" s="25"/>
      <c r="H924" s="26" t="str">
        <f>IF(G924='Tablas AR'!$B$10,1,IF('Análisis de Riesgos'!G924='Tablas AR'!$B$11,2,IF('Análisis de Riesgos'!G924='Tablas AR'!$B$12,3,"")))</f>
        <v/>
      </c>
      <c r="I924" s="26" t="str">
        <f t="shared" si="14"/>
        <v/>
      </c>
    </row>
    <row r="925" spans="2:9" x14ac:dyDescent="0.25">
      <c r="B925" s="27" t="str">
        <f>IFERROR(INDEX(Activos!$B$3:$C$16, MATCH(C925,Activos!$B$3:$B$16),2),"")</f>
        <v/>
      </c>
      <c r="C925" s="27"/>
      <c r="D925" s="27"/>
      <c r="E925" s="25"/>
      <c r="F925" s="26" t="str">
        <f>IF(E925='Tablas AR'!$B$4,1,IF('Análisis de Riesgos'!E925='Tablas AR'!$B$5,2,IF('Análisis de Riesgos'!E925='Tablas AR'!$B$6,3,"")))</f>
        <v/>
      </c>
      <c r="G925" s="25"/>
      <c r="H925" s="26" t="str">
        <f>IF(G925='Tablas AR'!$B$10,1,IF('Análisis de Riesgos'!G925='Tablas AR'!$B$11,2,IF('Análisis de Riesgos'!G925='Tablas AR'!$B$12,3,"")))</f>
        <v/>
      </c>
      <c r="I925" s="26" t="str">
        <f t="shared" si="14"/>
        <v/>
      </c>
    </row>
    <row r="926" spans="2:9" x14ac:dyDescent="0.25">
      <c r="B926" s="27" t="str">
        <f>IFERROR(INDEX(Activos!$B$3:$C$16, MATCH(C926,Activos!$B$3:$B$16),2),"")</f>
        <v/>
      </c>
      <c r="C926" s="27"/>
      <c r="D926" s="27"/>
      <c r="E926" s="25"/>
      <c r="F926" s="26" t="str">
        <f>IF(E926='Tablas AR'!$B$4,1,IF('Análisis de Riesgos'!E926='Tablas AR'!$B$5,2,IF('Análisis de Riesgos'!E926='Tablas AR'!$B$6,3,"")))</f>
        <v/>
      </c>
      <c r="G926" s="25"/>
      <c r="H926" s="26" t="str">
        <f>IF(G926='Tablas AR'!$B$10,1,IF('Análisis de Riesgos'!G926='Tablas AR'!$B$11,2,IF('Análisis de Riesgos'!G926='Tablas AR'!$B$12,3,"")))</f>
        <v/>
      </c>
      <c r="I926" s="26" t="str">
        <f t="shared" si="14"/>
        <v/>
      </c>
    </row>
    <row r="927" spans="2:9" x14ac:dyDescent="0.25">
      <c r="B927" s="27" t="str">
        <f>IFERROR(INDEX(Activos!$B$3:$C$16, MATCH(C927,Activos!$B$3:$B$16),2),"")</f>
        <v/>
      </c>
      <c r="C927" s="27"/>
      <c r="D927" s="27"/>
      <c r="E927" s="25"/>
      <c r="F927" s="26" t="str">
        <f>IF(E927='Tablas AR'!$B$4,1,IF('Análisis de Riesgos'!E927='Tablas AR'!$B$5,2,IF('Análisis de Riesgos'!E927='Tablas AR'!$B$6,3,"")))</f>
        <v/>
      </c>
      <c r="G927" s="25"/>
      <c r="H927" s="26" t="str">
        <f>IF(G927='Tablas AR'!$B$10,1,IF('Análisis de Riesgos'!G927='Tablas AR'!$B$11,2,IF('Análisis de Riesgos'!G927='Tablas AR'!$B$12,3,"")))</f>
        <v/>
      </c>
      <c r="I927" s="26" t="str">
        <f t="shared" si="14"/>
        <v/>
      </c>
    </row>
    <row r="928" spans="2:9" x14ac:dyDescent="0.25">
      <c r="B928" s="27" t="str">
        <f>IFERROR(INDEX(Activos!$B$3:$C$16, MATCH(C928,Activos!$B$3:$B$16),2),"")</f>
        <v/>
      </c>
      <c r="C928" s="27"/>
      <c r="D928" s="27"/>
      <c r="E928" s="25"/>
      <c r="F928" s="26" t="str">
        <f>IF(E928='Tablas AR'!$B$4,1,IF('Análisis de Riesgos'!E928='Tablas AR'!$B$5,2,IF('Análisis de Riesgos'!E928='Tablas AR'!$B$6,3,"")))</f>
        <v/>
      </c>
      <c r="G928" s="25"/>
      <c r="H928" s="26" t="str">
        <f>IF(G928='Tablas AR'!$B$10,1,IF('Análisis de Riesgos'!G928='Tablas AR'!$B$11,2,IF('Análisis de Riesgos'!G928='Tablas AR'!$B$12,3,"")))</f>
        <v/>
      </c>
      <c r="I928" s="26" t="str">
        <f t="shared" si="14"/>
        <v/>
      </c>
    </row>
    <row r="929" spans="2:9" x14ac:dyDescent="0.25">
      <c r="B929" s="27" t="str">
        <f>IFERROR(INDEX(Activos!$B$3:$C$16, MATCH(C929,Activos!$B$3:$B$16),2),"")</f>
        <v/>
      </c>
      <c r="C929" s="27"/>
      <c r="D929" s="27"/>
      <c r="E929" s="25"/>
      <c r="F929" s="26" t="str">
        <f>IF(E929='Tablas AR'!$B$4,1,IF('Análisis de Riesgos'!E929='Tablas AR'!$B$5,2,IF('Análisis de Riesgos'!E929='Tablas AR'!$B$6,3,"")))</f>
        <v/>
      </c>
      <c r="G929" s="25"/>
      <c r="H929" s="26" t="str">
        <f>IF(G929='Tablas AR'!$B$10,1,IF('Análisis de Riesgos'!G929='Tablas AR'!$B$11,2,IF('Análisis de Riesgos'!G929='Tablas AR'!$B$12,3,"")))</f>
        <v/>
      </c>
      <c r="I929" s="26" t="str">
        <f t="shared" si="14"/>
        <v/>
      </c>
    </row>
    <row r="930" spans="2:9" x14ac:dyDescent="0.25">
      <c r="B930" s="27" t="str">
        <f>IFERROR(INDEX(Activos!$B$3:$C$16, MATCH(C930,Activos!$B$3:$B$16),2),"")</f>
        <v/>
      </c>
      <c r="C930" s="27"/>
      <c r="D930" s="27"/>
      <c r="E930" s="25"/>
      <c r="G930" s="25"/>
      <c r="H930" s="26" t="str">
        <f>IF(G930='Tablas AR'!$B$10,1,IF('Análisis de Riesgos'!G930='Tablas AR'!$B$11,2,IF('Análisis de Riesgos'!G930='Tablas AR'!$B$12,3,"")))</f>
        <v/>
      </c>
      <c r="I930" s="26" t="str">
        <f t="shared" si="14"/>
        <v/>
      </c>
    </row>
    <row r="931" spans="2:9" x14ac:dyDescent="0.25">
      <c r="B931" s="27" t="str">
        <f>IFERROR(INDEX(Activos!$B$3:$C$16, MATCH(C931,Activos!$B$3:$B$16),2),"")</f>
        <v/>
      </c>
      <c r="C931" s="27"/>
      <c r="D931" s="27"/>
      <c r="E931" s="25"/>
      <c r="G931" s="25"/>
      <c r="H931" s="26" t="str">
        <f>IF(G931='Tablas AR'!$B$10,1,IF('Análisis de Riesgos'!G931='Tablas AR'!$B$11,2,IF('Análisis de Riesgos'!G931='Tablas AR'!$B$12,3,"")))</f>
        <v/>
      </c>
      <c r="I931" s="26" t="str">
        <f t="shared" si="14"/>
        <v/>
      </c>
    </row>
    <row r="932" spans="2:9" x14ac:dyDescent="0.25">
      <c r="B932" s="27" t="str">
        <f>IFERROR(INDEX(Activos!$B$3:$C$16, MATCH(C932,Activos!$B$3:$B$16),2),"")</f>
        <v/>
      </c>
      <c r="C932" s="27"/>
      <c r="D932" s="27"/>
      <c r="E932" s="25"/>
      <c r="G932" s="25"/>
      <c r="I932" s="26"/>
    </row>
    <row r="933" spans="2:9" x14ac:dyDescent="0.25">
      <c r="B933" s="27" t="str">
        <f>IFERROR(INDEX(Activos!$B$3:$C$16, MATCH(C933,Activos!$B$3:$B$16),2),"")</f>
        <v/>
      </c>
      <c r="C933" s="27"/>
      <c r="D933" s="27"/>
      <c r="E933" s="25"/>
      <c r="G933" s="25"/>
      <c r="I933" s="26"/>
    </row>
    <row r="934" spans="2:9" x14ac:dyDescent="0.25">
      <c r="B934" s="26"/>
      <c r="C934" s="26"/>
      <c r="D934" s="26"/>
    </row>
    <row r="935" spans="2:9" x14ac:dyDescent="0.25">
      <c r="B935" s="26"/>
      <c r="C935" s="26"/>
      <c r="D935" s="26"/>
    </row>
    <row r="936" spans="2:9" x14ac:dyDescent="0.25">
      <c r="B936" s="26"/>
      <c r="C936" s="26"/>
      <c r="D936" s="26"/>
    </row>
    <row r="937" spans="2:9" x14ac:dyDescent="0.25">
      <c r="B937" s="26"/>
      <c r="C937" s="26"/>
      <c r="D937" s="26"/>
    </row>
    <row r="938" spans="2:9" x14ac:dyDescent="0.25">
      <c r="B938" s="26"/>
      <c r="C938" s="26"/>
      <c r="D938" s="26"/>
    </row>
    <row r="939" spans="2:9" x14ac:dyDescent="0.25">
      <c r="B939" s="26"/>
      <c r="C939" s="26"/>
      <c r="D939" s="26"/>
    </row>
    <row r="940" spans="2:9" x14ac:dyDescent="0.25">
      <c r="B940" s="26"/>
      <c r="C940" s="26"/>
      <c r="D940" s="26"/>
    </row>
    <row r="941" spans="2:9" x14ac:dyDescent="0.25">
      <c r="B941" s="26"/>
      <c r="C941" s="26"/>
      <c r="D941" s="26"/>
    </row>
    <row r="942" spans="2:9" x14ac:dyDescent="0.25">
      <c r="B942" s="26"/>
      <c r="C942" s="26"/>
      <c r="D942" s="26"/>
    </row>
    <row r="943" spans="2:9" x14ac:dyDescent="0.25">
      <c r="B943" s="26"/>
      <c r="C943" s="26"/>
      <c r="D943" s="26"/>
    </row>
    <row r="944" spans="2:9" x14ac:dyDescent="0.25">
      <c r="B944" s="26"/>
      <c r="C944" s="26"/>
      <c r="D944" s="26"/>
    </row>
    <row r="945" spans="2:4" x14ac:dyDescent="0.25">
      <c r="B945" s="26"/>
      <c r="C945" s="26"/>
      <c r="D945" s="26"/>
    </row>
    <row r="946" spans="2:4" x14ac:dyDescent="0.25">
      <c r="B946" s="26"/>
      <c r="C946" s="26"/>
      <c r="D946" s="26"/>
    </row>
    <row r="947" spans="2:4" x14ac:dyDescent="0.25">
      <c r="B947" s="26"/>
      <c r="C947" s="26"/>
      <c r="D947" s="26"/>
    </row>
    <row r="948" spans="2:4" x14ac:dyDescent="0.25">
      <c r="B948" s="26"/>
      <c r="C948" s="26"/>
      <c r="D948" s="26"/>
    </row>
    <row r="949" spans="2:4" x14ac:dyDescent="0.25">
      <c r="B949" s="26"/>
      <c r="C949" s="26"/>
      <c r="D949" s="26"/>
    </row>
    <row r="950" spans="2:4" x14ac:dyDescent="0.25">
      <c r="B950" s="26"/>
      <c r="C950" s="26"/>
      <c r="D950" s="26"/>
    </row>
    <row r="951" spans="2:4" x14ac:dyDescent="0.25">
      <c r="B951" s="26"/>
      <c r="C951" s="26"/>
      <c r="D951" s="26"/>
    </row>
    <row r="952" spans="2:4" x14ac:dyDescent="0.25">
      <c r="B952" s="26"/>
      <c r="C952" s="26"/>
      <c r="D952" s="26"/>
    </row>
    <row r="953" spans="2:4" x14ac:dyDescent="0.25">
      <c r="B953" s="26"/>
      <c r="C953" s="26"/>
      <c r="D953" s="26"/>
    </row>
    <row r="954" spans="2:4" x14ac:dyDescent="0.25">
      <c r="B954" s="26"/>
      <c r="C954" s="26"/>
      <c r="D954" s="26"/>
    </row>
    <row r="955" spans="2:4" x14ac:dyDescent="0.25">
      <c r="B955" s="26"/>
      <c r="C955" s="26"/>
      <c r="D955" s="26"/>
    </row>
    <row r="956" spans="2:4" x14ac:dyDescent="0.25">
      <c r="B956" s="26"/>
      <c r="C956" s="26"/>
      <c r="D956" s="26"/>
    </row>
    <row r="957" spans="2:4" x14ac:dyDescent="0.25">
      <c r="B957" s="26"/>
      <c r="C957" s="26"/>
      <c r="D957" s="26"/>
    </row>
    <row r="958" spans="2:4" x14ac:dyDescent="0.25">
      <c r="B958" s="26"/>
      <c r="C958" s="26"/>
      <c r="D958" s="26"/>
    </row>
    <row r="959" spans="2:4" x14ac:dyDescent="0.25">
      <c r="B959" s="26"/>
      <c r="C959" s="26"/>
      <c r="D959" s="26"/>
    </row>
    <row r="960" spans="2:4" x14ac:dyDescent="0.25">
      <c r="B960" s="26"/>
      <c r="C960" s="26"/>
      <c r="D960" s="26"/>
    </row>
    <row r="961" spans="2:4" x14ac:dyDescent="0.25">
      <c r="B961" s="26"/>
      <c r="C961" s="26"/>
      <c r="D961" s="26"/>
    </row>
    <row r="962" spans="2:4" x14ac:dyDescent="0.25">
      <c r="B962" s="26"/>
      <c r="C962" s="26"/>
      <c r="D962" s="26"/>
    </row>
    <row r="963" spans="2:4" x14ac:dyDescent="0.25">
      <c r="B963" s="26"/>
      <c r="C963" s="26"/>
      <c r="D963" s="26"/>
    </row>
    <row r="964" spans="2:4" x14ac:dyDescent="0.25">
      <c r="B964" s="26"/>
      <c r="C964" s="26"/>
      <c r="D964" s="26"/>
    </row>
    <row r="965" spans="2:4" x14ac:dyDescent="0.25">
      <c r="B965" s="26"/>
      <c r="C965" s="26"/>
      <c r="D965" s="26"/>
    </row>
    <row r="966" spans="2:4" x14ac:dyDescent="0.25">
      <c r="B966" s="26"/>
      <c r="C966" s="26"/>
      <c r="D966" s="26"/>
    </row>
    <row r="967" spans="2:4" x14ac:dyDescent="0.25">
      <c r="B967" s="26"/>
      <c r="C967" s="26"/>
      <c r="D967" s="26"/>
    </row>
    <row r="968" spans="2:4" x14ac:dyDescent="0.25">
      <c r="B968" s="26"/>
      <c r="C968" s="26"/>
      <c r="D968" s="26"/>
    </row>
    <row r="969" spans="2:4" x14ac:dyDescent="0.25">
      <c r="B969" s="26"/>
      <c r="C969" s="26"/>
      <c r="D969" s="26"/>
    </row>
    <row r="970" spans="2:4" x14ac:dyDescent="0.25">
      <c r="B970" s="26"/>
      <c r="C970" s="26"/>
      <c r="D970" s="26"/>
    </row>
    <row r="971" spans="2:4" x14ac:dyDescent="0.25">
      <c r="B971" s="26"/>
      <c r="C971" s="26"/>
      <c r="D971" s="26"/>
    </row>
    <row r="972" spans="2:4" x14ac:dyDescent="0.25">
      <c r="B972" s="26"/>
      <c r="C972" s="26"/>
      <c r="D972" s="26"/>
    </row>
    <row r="973" spans="2:4" x14ac:dyDescent="0.25">
      <c r="B973" s="26"/>
      <c r="C973" s="26"/>
      <c r="D973" s="26"/>
    </row>
    <row r="974" spans="2:4" x14ac:dyDescent="0.25">
      <c r="B974" s="26"/>
      <c r="C974" s="26"/>
      <c r="D974" s="26"/>
    </row>
    <row r="975" spans="2:4" x14ac:dyDescent="0.25">
      <c r="B975" s="26"/>
      <c r="C975" s="26"/>
      <c r="D975" s="26"/>
    </row>
    <row r="976" spans="2:4" x14ac:dyDescent="0.25">
      <c r="B976" s="26"/>
      <c r="C976" s="26"/>
      <c r="D976" s="26"/>
    </row>
    <row r="977" spans="2:4" x14ac:dyDescent="0.25">
      <c r="B977" s="26"/>
      <c r="C977" s="26"/>
      <c r="D977" s="26"/>
    </row>
    <row r="978" spans="2:4" x14ac:dyDescent="0.25">
      <c r="B978" s="26"/>
      <c r="C978" s="26"/>
      <c r="D978" s="26"/>
    </row>
    <row r="979" spans="2:4" x14ac:dyDescent="0.25">
      <c r="B979" s="26"/>
      <c r="C979" s="26"/>
      <c r="D979" s="26"/>
    </row>
    <row r="980" spans="2:4" x14ac:dyDescent="0.25">
      <c r="B980" s="26"/>
      <c r="C980" s="26"/>
      <c r="D980" s="26"/>
    </row>
    <row r="981" spans="2:4" x14ac:dyDescent="0.25">
      <c r="B981" s="26"/>
      <c r="C981" s="26"/>
      <c r="D981" s="26"/>
    </row>
    <row r="982" spans="2:4" x14ac:dyDescent="0.25">
      <c r="B982" s="26"/>
      <c r="C982" s="26"/>
      <c r="D982" s="26"/>
    </row>
    <row r="983" spans="2:4" x14ac:dyDescent="0.25">
      <c r="B983" s="26"/>
      <c r="C983" s="26"/>
      <c r="D983" s="26"/>
    </row>
    <row r="984" spans="2:4" x14ac:dyDescent="0.25">
      <c r="B984" s="26"/>
      <c r="C984" s="26"/>
      <c r="D984" s="26"/>
    </row>
    <row r="985" spans="2:4" x14ac:dyDescent="0.25">
      <c r="B985" s="26"/>
      <c r="C985" s="26"/>
      <c r="D985" s="26"/>
    </row>
    <row r="986" spans="2:4" x14ac:dyDescent="0.25">
      <c r="B986" s="26"/>
      <c r="C986" s="26"/>
      <c r="D986" s="26"/>
    </row>
    <row r="987" spans="2:4" x14ac:dyDescent="0.25">
      <c r="B987" s="26"/>
      <c r="C987" s="26"/>
      <c r="D987" s="26"/>
    </row>
    <row r="988" spans="2:4" x14ac:dyDescent="0.25">
      <c r="B988" s="26"/>
      <c r="C988" s="26"/>
      <c r="D988" s="26"/>
    </row>
    <row r="989" spans="2:4" x14ac:dyDescent="0.25">
      <c r="B989" s="26"/>
      <c r="C989" s="26"/>
      <c r="D989" s="26"/>
    </row>
    <row r="990" spans="2:4" x14ac:dyDescent="0.25">
      <c r="B990" s="26"/>
      <c r="C990" s="26"/>
      <c r="D990" s="26"/>
    </row>
    <row r="991" spans="2:4" x14ac:dyDescent="0.25">
      <c r="B991" s="26"/>
      <c r="C991" s="26"/>
      <c r="D991" s="26"/>
    </row>
    <row r="992" spans="2:4" x14ac:dyDescent="0.25">
      <c r="B992" s="26"/>
      <c r="C992" s="26"/>
      <c r="D992" s="26"/>
    </row>
    <row r="993" spans="2:4" x14ac:dyDescent="0.25">
      <c r="B993" s="26"/>
      <c r="C993" s="26"/>
      <c r="D993" s="26"/>
    </row>
    <row r="994" spans="2:4" x14ac:dyDescent="0.25">
      <c r="B994" s="26"/>
      <c r="C994" s="26"/>
      <c r="D994" s="26"/>
    </row>
    <row r="995" spans="2:4" x14ac:dyDescent="0.25">
      <c r="B995" s="26"/>
      <c r="C995" s="26"/>
      <c r="D995" s="26"/>
    </row>
    <row r="996" spans="2:4" x14ac:dyDescent="0.25">
      <c r="B996" s="26"/>
      <c r="C996" s="26"/>
      <c r="D996" s="26"/>
    </row>
    <row r="997" spans="2:4" x14ac:dyDescent="0.25">
      <c r="B997" s="26"/>
      <c r="C997" s="26"/>
      <c r="D997" s="26"/>
    </row>
    <row r="998" spans="2:4" x14ac:dyDescent="0.25">
      <c r="B998" s="26"/>
      <c r="C998" s="26"/>
      <c r="D998" s="26"/>
    </row>
    <row r="999" spans="2:4" x14ac:dyDescent="0.25">
      <c r="B999" s="26"/>
      <c r="C999" s="26"/>
      <c r="D999" s="26"/>
    </row>
    <row r="1000" spans="2:4" x14ac:dyDescent="0.25">
      <c r="B1000" s="26"/>
      <c r="C1000" s="26"/>
      <c r="D1000" s="26"/>
    </row>
    <row r="1001" spans="2:4" x14ac:dyDescent="0.25">
      <c r="B1001" s="26"/>
      <c r="C1001" s="26"/>
      <c r="D1001" s="26"/>
    </row>
    <row r="1002" spans="2:4" x14ac:dyDescent="0.25">
      <c r="B1002" s="26"/>
      <c r="C1002" s="26"/>
      <c r="D1002" s="26"/>
    </row>
    <row r="1003" spans="2:4" x14ac:dyDescent="0.25">
      <c r="B1003" s="26"/>
      <c r="C1003" s="26"/>
      <c r="D1003" s="26"/>
    </row>
    <row r="1004" spans="2:4" x14ac:dyDescent="0.25">
      <c r="B1004" s="26"/>
      <c r="C1004" s="26"/>
      <c r="D1004" s="26"/>
    </row>
    <row r="1005" spans="2:4" x14ac:dyDescent="0.25">
      <c r="B1005" s="26"/>
      <c r="C1005" s="26"/>
      <c r="D1005" s="26"/>
    </row>
    <row r="1006" spans="2:4" x14ac:dyDescent="0.25">
      <c r="B1006" s="26"/>
      <c r="C1006" s="26"/>
      <c r="D1006" s="26"/>
    </row>
    <row r="1007" spans="2:4" x14ac:dyDescent="0.25">
      <c r="B1007" s="26"/>
      <c r="C1007" s="26"/>
      <c r="D1007" s="26"/>
    </row>
    <row r="1008" spans="2:4" x14ac:dyDescent="0.25">
      <c r="B1008" s="26"/>
      <c r="C1008" s="26"/>
      <c r="D1008" s="26"/>
    </row>
    <row r="1009" spans="2:4" x14ac:dyDescent="0.25">
      <c r="B1009" s="26"/>
      <c r="C1009" s="26"/>
      <c r="D1009" s="26"/>
    </row>
    <row r="1010" spans="2:4" x14ac:dyDescent="0.25">
      <c r="B1010" s="26"/>
      <c r="C1010" s="26"/>
      <c r="D1010" s="26"/>
    </row>
    <row r="1011" spans="2:4" x14ac:dyDescent="0.25">
      <c r="B1011" s="26"/>
      <c r="C1011" s="26"/>
      <c r="D1011" s="26"/>
    </row>
    <row r="1012" spans="2:4" x14ac:dyDescent="0.25">
      <c r="B1012" s="26"/>
      <c r="C1012" s="26"/>
      <c r="D1012" s="26"/>
    </row>
    <row r="1013" spans="2:4" x14ac:dyDescent="0.25">
      <c r="B1013" s="26"/>
      <c r="C1013" s="26"/>
      <c r="D1013" s="26"/>
    </row>
    <row r="1014" spans="2:4" x14ac:dyDescent="0.25">
      <c r="B1014" s="26"/>
      <c r="C1014" s="26"/>
      <c r="D1014" s="26"/>
    </row>
    <row r="1015" spans="2:4" x14ac:dyDescent="0.25">
      <c r="B1015" s="26"/>
      <c r="C1015" s="26"/>
      <c r="D1015" s="26"/>
    </row>
    <row r="1016" spans="2:4" x14ac:dyDescent="0.25">
      <c r="B1016" s="26"/>
      <c r="C1016" s="26"/>
      <c r="D1016" s="26"/>
    </row>
    <row r="1017" spans="2:4" x14ac:dyDescent="0.25">
      <c r="B1017" s="26"/>
      <c r="C1017" s="26"/>
      <c r="D1017" s="26"/>
    </row>
    <row r="1018" spans="2:4" x14ac:dyDescent="0.25">
      <c r="B1018" s="26"/>
      <c r="C1018" s="26"/>
      <c r="D1018" s="26"/>
    </row>
    <row r="1019" spans="2:4" x14ac:dyDescent="0.25">
      <c r="B1019" s="26"/>
      <c r="C1019" s="26"/>
      <c r="D1019" s="26"/>
    </row>
    <row r="1020" spans="2:4" x14ac:dyDescent="0.25">
      <c r="B1020" s="26"/>
      <c r="C1020" s="26"/>
      <c r="D1020" s="26"/>
    </row>
    <row r="1021" spans="2:4" x14ac:dyDescent="0.25">
      <c r="B1021" s="26"/>
      <c r="C1021" s="26"/>
      <c r="D1021" s="26"/>
    </row>
    <row r="1022" spans="2:4" x14ac:dyDescent="0.25">
      <c r="B1022" s="26"/>
      <c r="C1022" s="26"/>
      <c r="D1022" s="26"/>
    </row>
    <row r="1023" spans="2:4" x14ac:dyDescent="0.25">
      <c r="B1023" s="26"/>
      <c r="C1023" s="26"/>
      <c r="D1023" s="26"/>
    </row>
    <row r="1024" spans="2:4" x14ac:dyDescent="0.25">
      <c r="B1024" s="26"/>
      <c r="C1024" s="26"/>
      <c r="D1024" s="26"/>
    </row>
    <row r="1025" spans="2:4" x14ac:dyDescent="0.25">
      <c r="B1025" s="26"/>
      <c r="C1025" s="26"/>
      <c r="D1025" s="26"/>
    </row>
    <row r="1026" spans="2:4" x14ac:dyDescent="0.25">
      <c r="B1026" s="26"/>
      <c r="C1026" s="26"/>
      <c r="D1026" s="26"/>
    </row>
    <row r="1027" spans="2:4" x14ac:dyDescent="0.25">
      <c r="B1027" s="26"/>
      <c r="C1027" s="26"/>
      <c r="D1027" s="26"/>
    </row>
    <row r="1028" spans="2:4" x14ac:dyDescent="0.25">
      <c r="B1028" s="26"/>
      <c r="C1028" s="26"/>
      <c r="D1028" s="26"/>
    </row>
    <row r="1029" spans="2:4" x14ac:dyDescent="0.25">
      <c r="B1029" s="26"/>
      <c r="C1029" s="26"/>
      <c r="D1029" s="26"/>
    </row>
    <row r="1030" spans="2:4" x14ac:dyDescent="0.25">
      <c r="B1030" s="26"/>
      <c r="C1030" s="26"/>
      <c r="D1030" s="26"/>
    </row>
    <row r="1031" spans="2:4" x14ac:dyDescent="0.25">
      <c r="B1031" s="26"/>
      <c r="C1031" s="26"/>
      <c r="D1031" s="26"/>
    </row>
    <row r="1032" spans="2:4" x14ac:dyDescent="0.25">
      <c r="B1032" s="26"/>
      <c r="C1032" s="26"/>
      <c r="D1032" s="26"/>
    </row>
    <row r="1033" spans="2:4" x14ac:dyDescent="0.25">
      <c r="B1033" s="26"/>
      <c r="C1033" s="26"/>
      <c r="D1033" s="26"/>
    </row>
    <row r="1034" spans="2:4" x14ac:dyDescent="0.25">
      <c r="B1034" s="26"/>
      <c r="C1034" s="26"/>
      <c r="D1034" s="26"/>
    </row>
    <row r="1035" spans="2:4" x14ac:dyDescent="0.25">
      <c r="B1035" s="26"/>
      <c r="C1035" s="26"/>
      <c r="D1035" s="26"/>
    </row>
    <row r="1036" spans="2:4" x14ac:dyDescent="0.25">
      <c r="B1036" s="26"/>
      <c r="C1036" s="26"/>
      <c r="D1036" s="26"/>
    </row>
    <row r="1037" spans="2:4" x14ac:dyDescent="0.25">
      <c r="B1037" s="26"/>
      <c r="C1037" s="26"/>
      <c r="D1037" s="26"/>
    </row>
    <row r="1038" spans="2:4" x14ac:dyDescent="0.25">
      <c r="B1038" s="26"/>
      <c r="C1038" s="26"/>
      <c r="D1038" s="26"/>
    </row>
    <row r="1039" spans="2:4" x14ac:dyDescent="0.25">
      <c r="B1039" s="26"/>
      <c r="C1039" s="26"/>
      <c r="D1039" s="26"/>
    </row>
    <row r="1040" spans="2:4" x14ac:dyDescent="0.25">
      <c r="B1040" s="26"/>
      <c r="C1040" s="26"/>
      <c r="D1040" s="26"/>
    </row>
    <row r="1041" spans="2:4" x14ac:dyDescent="0.25">
      <c r="B1041" s="26"/>
      <c r="C1041" s="26"/>
      <c r="D1041" s="26"/>
    </row>
    <row r="1042" spans="2:4" x14ac:dyDescent="0.25">
      <c r="B1042" s="26"/>
      <c r="C1042" s="26"/>
      <c r="D1042" s="26"/>
    </row>
    <row r="1043" spans="2:4" x14ac:dyDescent="0.25">
      <c r="B1043" s="26"/>
      <c r="C1043" s="26"/>
      <c r="D1043" s="26"/>
    </row>
    <row r="1044" spans="2:4" x14ac:dyDescent="0.25">
      <c r="B1044" s="26"/>
      <c r="C1044" s="26"/>
      <c r="D1044" s="26"/>
    </row>
    <row r="1045" spans="2:4" x14ac:dyDescent="0.25">
      <c r="B1045" s="26"/>
      <c r="C1045" s="26"/>
      <c r="D1045" s="26"/>
    </row>
    <row r="1046" spans="2:4" x14ac:dyDescent="0.25">
      <c r="B1046" s="26"/>
      <c r="C1046" s="26"/>
      <c r="D1046" s="26"/>
    </row>
    <row r="1047" spans="2:4" x14ac:dyDescent="0.25">
      <c r="B1047" s="26"/>
      <c r="C1047" s="26"/>
      <c r="D1047" s="26"/>
    </row>
    <row r="1048" spans="2:4" x14ac:dyDescent="0.25">
      <c r="B1048" s="26"/>
      <c r="C1048" s="26"/>
      <c r="D1048" s="26"/>
    </row>
    <row r="1049" spans="2:4" x14ac:dyDescent="0.25">
      <c r="B1049" s="26"/>
      <c r="C1049" s="26"/>
      <c r="D1049" s="26"/>
    </row>
    <row r="1050" spans="2:4" x14ac:dyDescent="0.25">
      <c r="B1050" s="26"/>
      <c r="C1050" s="26"/>
      <c r="D1050" s="26"/>
    </row>
    <row r="1051" spans="2:4" x14ac:dyDescent="0.25">
      <c r="B1051" s="26"/>
      <c r="C1051" s="26"/>
      <c r="D1051" s="26"/>
    </row>
    <row r="1052" spans="2:4" x14ac:dyDescent="0.25">
      <c r="B1052" s="26"/>
      <c r="C1052" s="26"/>
      <c r="D1052" s="26"/>
    </row>
    <row r="1053" spans="2:4" x14ac:dyDescent="0.25">
      <c r="B1053" s="26"/>
      <c r="C1053" s="26"/>
      <c r="D1053" s="26"/>
    </row>
    <row r="1054" spans="2:4" x14ac:dyDescent="0.25">
      <c r="B1054" s="26"/>
      <c r="C1054" s="26"/>
      <c r="D1054" s="26"/>
    </row>
    <row r="1055" spans="2:4" x14ac:dyDescent="0.25">
      <c r="B1055" s="26"/>
      <c r="C1055" s="26"/>
      <c r="D1055" s="26"/>
    </row>
    <row r="1056" spans="2:4" x14ac:dyDescent="0.25">
      <c r="B1056" s="26"/>
      <c r="C1056" s="26"/>
      <c r="D1056" s="26"/>
    </row>
    <row r="1057" spans="2:4" x14ac:dyDescent="0.25">
      <c r="B1057" s="26"/>
      <c r="C1057" s="26"/>
      <c r="D1057" s="26"/>
    </row>
    <row r="1058" spans="2:4" x14ac:dyDescent="0.25">
      <c r="B1058" s="26"/>
      <c r="C1058" s="26"/>
      <c r="D1058" s="26"/>
    </row>
    <row r="1059" spans="2:4" x14ac:dyDescent="0.25">
      <c r="B1059" s="26"/>
      <c r="C1059" s="26"/>
      <c r="D1059" s="26"/>
    </row>
    <row r="1060" spans="2:4" x14ac:dyDescent="0.25">
      <c r="B1060" s="26"/>
      <c r="C1060" s="26"/>
      <c r="D1060" s="26"/>
    </row>
    <row r="1061" spans="2:4" x14ac:dyDescent="0.25">
      <c r="B1061" s="26"/>
      <c r="C1061" s="26"/>
      <c r="D1061" s="26"/>
    </row>
    <row r="1062" spans="2:4" x14ac:dyDescent="0.25">
      <c r="B1062" s="26"/>
      <c r="C1062" s="26"/>
      <c r="D1062" s="26"/>
    </row>
    <row r="1063" spans="2:4" x14ac:dyDescent="0.25">
      <c r="B1063" s="26"/>
      <c r="C1063" s="26"/>
      <c r="D1063" s="26"/>
    </row>
    <row r="1064" spans="2:4" x14ac:dyDescent="0.25">
      <c r="B1064" s="26"/>
      <c r="C1064" s="26"/>
      <c r="D1064" s="26"/>
    </row>
    <row r="1065" spans="2:4" x14ac:dyDescent="0.25">
      <c r="B1065" s="26"/>
      <c r="C1065" s="26"/>
      <c r="D1065" s="26"/>
    </row>
    <row r="1066" spans="2:4" x14ac:dyDescent="0.25">
      <c r="B1066" s="26"/>
      <c r="C1066" s="26"/>
      <c r="D1066" s="26"/>
    </row>
    <row r="1067" spans="2:4" x14ac:dyDescent="0.25">
      <c r="B1067" s="26"/>
      <c r="C1067" s="26"/>
      <c r="D1067" s="26"/>
    </row>
    <row r="1068" spans="2:4" x14ac:dyDescent="0.25">
      <c r="B1068" s="26"/>
      <c r="C1068" s="26"/>
      <c r="D1068" s="26"/>
    </row>
    <row r="1069" spans="2:4" x14ac:dyDescent="0.25">
      <c r="B1069" s="26"/>
      <c r="C1069" s="26"/>
      <c r="D1069" s="26"/>
    </row>
    <row r="1070" spans="2:4" x14ac:dyDescent="0.25">
      <c r="B1070" s="26"/>
      <c r="C1070" s="26"/>
      <c r="D1070" s="26"/>
    </row>
    <row r="1071" spans="2:4" x14ac:dyDescent="0.25">
      <c r="B1071" s="26"/>
      <c r="C1071" s="26"/>
      <c r="D1071" s="26"/>
    </row>
    <row r="1072" spans="2:4" x14ac:dyDescent="0.25">
      <c r="B1072" s="26"/>
      <c r="C1072" s="26"/>
      <c r="D1072" s="26"/>
    </row>
    <row r="1073" spans="2:4" x14ac:dyDescent="0.25">
      <c r="B1073" s="26"/>
      <c r="C1073" s="26"/>
      <c r="D1073" s="26"/>
    </row>
    <row r="1074" spans="2:4" x14ac:dyDescent="0.25">
      <c r="B1074" s="26"/>
      <c r="C1074" s="26"/>
      <c r="D1074" s="26"/>
    </row>
    <row r="1075" spans="2:4" x14ac:dyDescent="0.25">
      <c r="B1075" s="26"/>
      <c r="C1075" s="26"/>
      <c r="D1075" s="26"/>
    </row>
    <row r="1076" spans="2:4" x14ac:dyDescent="0.25">
      <c r="B1076" s="26"/>
      <c r="C1076" s="26"/>
      <c r="D1076" s="26"/>
    </row>
    <row r="1077" spans="2:4" x14ac:dyDescent="0.25">
      <c r="B1077" s="26"/>
      <c r="C1077" s="26"/>
      <c r="D1077" s="26"/>
    </row>
    <row r="1078" spans="2:4" x14ac:dyDescent="0.25">
      <c r="B1078" s="26"/>
      <c r="C1078" s="26"/>
      <c r="D1078" s="26"/>
    </row>
    <row r="1079" spans="2:4" x14ac:dyDescent="0.25">
      <c r="B1079" s="26"/>
      <c r="C1079" s="26"/>
      <c r="D1079" s="26"/>
    </row>
    <row r="1080" spans="2:4" x14ac:dyDescent="0.25">
      <c r="B1080" s="26"/>
      <c r="C1080" s="26"/>
      <c r="D1080" s="26"/>
    </row>
    <row r="1081" spans="2:4" x14ac:dyDescent="0.25">
      <c r="B1081" s="26"/>
      <c r="C1081" s="26"/>
      <c r="D1081" s="26"/>
    </row>
    <row r="1082" spans="2:4" x14ac:dyDescent="0.25">
      <c r="B1082" s="26"/>
      <c r="C1082" s="26"/>
      <c r="D1082" s="26"/>
    </row>
    <row r="1083" spans="2:4" x14ac:dyDescent="0.25">
      <c r="B1083" s="26"/>
      <c r="C1083" s="26"/>
      <c r="D1083" s="26"/>
    </row>
    <row r="1084" spans="2:4" x14ac:dyDescent="0.25">
      <c r="B1084" s="26"/>
      <c r="C1084" s="26"/>
      <c r="D1084" s="26"/>
    </row>
    <row r="1085" spans="2:4" x14ac:dyDescent="0.25">
      <c r="B1085" s="26"/>
      <c r="C1085" s="26"/>
      <c r="D1085" s="26"/>
    </row>
    <row r="1086" spans="2:4" x14ac:dyDescent="0.25">
      <c r="B1086" s="26"/>
      <c r="C1086" s="26"/>
      <c r="D1086" s="26"/>
    </row>
    <row r="1087" spans="2:4" x14ac:dyDescent="0.25">
      <c r="B1087" s="26"/>
      <c r="C1087" s="26"/>
      <c r="D1087" s="26"/>
    </row>
    <row r="1088" spans="2:4" x14ac:dyDescent="0.25">
      <c r="B1088" s="26"/>
      <c r="C1088" s="26"/>
      <c r="D1088" s="26"/>
    </row>
    <row r="1089" spans="2:4" x14ac:dyDescent="0.25">
      <c r="B1089" s="26"/>
      <c r="C1089" s="26"/>
      <c r="D1089" s="26"/>
    </row>
    <row r="1090" spans="2:4" x14ac:dyDescent="0.25">
      <c r="B1090" s="26"/>
      <c r="C1090" s="26"/>
      <c r="D1090" s="26"/>
    </row>
    <row r="1091" spans="2:4" x14ac:dyDescent="0.25">
      <c r="B1091" s="26"/>
      <c r="C1091" s="26"/>
      <c r="D1091" s="26"/>
    </row>
    <row r="1092" spans="2:4" x14ac:dyDescent="0.25">
      <c r="B1092" s="26"/>
      <c r="C1092" s="26"/>
      <c r="D1092" s="26"/>
    </row>
    <row r="1093" spans="2:4" x14ac:dyDescent="0.25">
      <c r="B1093" s="26"/>
      <c r="C1093" s="26"/>
      <c r="D1093" s="26"/>
    </row>
    <row r="1094" spans="2:4" x14ac:dyDescent="0.25">
      <c r="B1094" s="26"/>
      <c r="C1094" s="26"/>
      <c r="D1094" s="26"/>
    </row>
    <row r="1095" spans="2:4" x14ac:dyDescent="0.25">
      <c r="B1095" s="26"/>
      <c r="C1095" s="26"/>
      <c r="D1095" s="26"/>
    </row>
    <row r="1096" spans="2:4" x14ac:dyDescent="0.25">
      <c r="B1096" s="26"/>
      <c r="C1096" s="26"/>
      <c r="D1096" s="26"/>
    </row>
    <row r="1097" spans="2:4" x14ac:dyDescent="0.25">
      <c r="B1097" s="26"/>
      <c r="C1097" s="26"/>
      <c r="D1097" s="26"/>
    </row>
    <row r="1098" spans="2:4" x14ac:dyDescent="0.25">
      <c r="B1098" s="26"/>
      <c r="C1098" s="26"/>
      <c r="D1098" s="26"/>
    </row>
    <row r="1099" spans="2:4" x14ac:dyDescent="0.25">
      <c r="B1099" s="26"/>
      <c r="C1099" s="26"/>
      <c r="D1099" s="26"/>
    </row>
    <row r="1100" spans="2:4" x14ac:dyDescent="0.25">
      <c r="B1100" s="26"/>
      <c r="C1100" s="26"/>
      <c r="D1100" s="26"/>
    </row>
    <row r="1101" spans="2:4" x14ac:dyDescent="0.25">
      <c r="B1101" s="26"/>
      <c r="C1101" s="26"/>
      <c r="D1101" s="26"/>
    </row>
    <row r="1102" spans="2:4" x14ac:dyDescent="0.25">
      <c r="B1102" s="26"/>
      <c r="C1102" s="26"/>
      <c r="D1102" s="26"/>
    </row>
    <row r="1103" spans="2:4" x14ac:dyDescent="0.25">
      <c r="B1103" s="26"/>
      <c r="C1103" s="26"/>
      <c r="D1103" s="26"/>
    </row>
    <row r="1104" spans="2:4" x14ac:dyDescent="0.25">
      <c r="B1104" s="26"/>
      <c r="C1104" s="26"/>
      <c r="D1104" s="26"/>
    </row>
    <row r="1105" spans="2:4" x14ac:dyDescent="0.25">
      <c r="B1105" s="26"/>
      <c r="C1105" s="26"/>
      <c r="D1105" s="26"/>
    </row>
    <row r="1106" spans="2:4" x14ac:dyDescent="0.25">
      <c r="B1106" s="26"/>
      <c r="C1106" s="26"/>
      <c r="D1106" s="26"/>
    </row>
    <row r="1107" spans="2:4" x14ac:dyDescent="0.25">
      <c r="B1107" s="26"/>
      <c r="C1107" s="26"/>
      <c r="D1107" s="26"/>
    </row>
    <row r="1108" spans="2:4" x14ac:dyDescent="0.25">
      <c r="B1108" s="26"/>
      <c r="C1108" s="26"/>
      <c r="D1108" s="26"/>
    </row>
    <row r="1109" spans="2:4" x14ac:dyDescent="0.25">
      <c r="B1109" s="26"/>
      <c r="C1109" s="26"/>
      <c r="D1109" s="26"/>
    </row>
    <row r="1110" spans="2:4" x14ac:dyDescent="0.25">
      <c r="B1110" s="26"/>
      <c r="C1110" s="26"/>
      <c r="D1110" s="26"/>
    </row>
    <row r="1111" spans="2:4" x14ac:dyDescent="0.25">
      <c r="B1111" s="26"/>
      <c r="C1111" s="26"/>
      <c r="D1111" s="26"/>
    </row>
    <row r="1112" spans="2:4" x14ac:dyDescent="0.25">
      <c r="B1112" s="26"/>
      <c r="C1112" s="26"/>
      <c r="D1112" s="26"/>
    </row>
    <row r="1113" spans="2:4" x14ac:dyDescent="0.25">
      <c r="B1113" s="26"/>
      <c r="C1113" s="26"/>
      <c r="D1113" s="26"/>
    </row>
    <row r="1114" spans="2:4" x14ac:dyDescent="0.25">
      <c r="B1114" s="26"/>
      <c r="C1114" s="26"/>
      <c r="D1114" s="26"/>
    </row>
    <row r="1115" spans="2:4" x14ac:dyDescent="0.25">
      <c r="B1115" s="26"/>
      <c r="C1115" s="26"/>
      <c r="D1115" s="26"/>
    </row>
    <row r="1116" spans="2:4" x14ac:dyDescent="0.25">
      <c r="B1116" s="26"/>
      <c r="C1116" s="26"/>
      <c r="D1116" s="26"/>
    </row>
    <row r="1117" spans="2:4" x14ac:dyDescent="0.25">
      <c r="B1117" s="26"/>
      <c r="C1117" s="26"/>
      <c r="D1117" s="26"/>
    </row>
    <row r="1118" spans="2:4" x14ac:dyDescent="0.25">
      <c r="B1118" s="26"/>
      <c r="C1118" s="26"/>
      <c r="D1118" s="26"/>
    </row>
    <row r="1119" spans="2:4" x14ac:dyDescent="0.25">
      <c r="B1119" s="26"/>
      <c r="C1119" s="26"/>
      <c r="D1119" s="26"/>
    </row>
    <row r="1120" spans="2:4" x14ac:dyDescent="0.25">
      <c r="B1120" s="26"/>
      <c r="C1120" s="26"/>
      <c r="D1120" s="26"/>
    </row>
    <row r="1121" spans="2:4" x14ac:dyDescent="0.25">
      <c r="B1121" s="26"/>
      <c r="C1121" s="26"/>
      <c r="D1121" s="26"/>
    </row>
    <row r="1122" spans="2:4" x14ac:dyDescent="0.25">
      <c r="B1122" s="26"/>
      <c r="C1122" s="26"/>
      <c r="D1122" s="26"/>
    </row>
    <row r="1123" spans="2:4" x14ac:dyDescent="0.25">
      <c r="B1123" s="26"/>
      <c r="C1123" s="26"/>
      <c r="D1123" s="26"/>
    </row>
    <row r="1124" spans="2:4" x14ac:dyDescent="0.25">
      <c r="B1124" s="26"/>
      <c r="C1124" s="26"/>
      <c r="D1124" s="26"/>
    </row>
    <row r="1125" spans="2:4" x14ac:dyDescent="0.25">
      <c r="B1125" s="26"/>
      <c r="C1125" s="26"/>
      <c r="D1125" s="26"/>
    </row>
    <row r="1126" spans="2:4" x14ac:dyDescent="0.25">
      <c r="B1126" s="26"/>
      <c r="C1126" s="26"/>
      <c r="D1126" s="26"/>
    </row>
    <row r="1127" spans="2:4" x14ac:dyDescent="0.25">
      <c r="B1127" s="26"/>
      <c r="C1127" s="26"/>
      <c r="D1127" s="26"/>
    </row>
    <row r="1128" spans="2:4" x14ac:dyDescent="0.25">
      <c r="B1128" s="26"/>
      <c r="C1128" s="26"/>
      <c r="D1128" s="26"/>
    </row>
    <row r="1129" spans="2:4" x14ac:dyDescent="0.25">
      <c r="B1129" s="26"/>
      <c r="C1129" s="26"/>
      <c r="D1129" s="26"/>
    </row>
    <row r="1130" spans="2:4" x14ac:dyDescent="0.25">
      <c r="B1130" s="26"/>
      <c r="C1130" s="26"/>
      <c r="D1130" s="26"/>
    </row>
    <row r="1131" spans="2:4" x14ac:dyDescent="0.25">
      <c r="B1131" s="26"/>
      <c r="C1131" s="26"/>
      <c r="D1131" s="26"/>
    </row>
    <row r="1132" spans="2:4" x14ac:dyDescent="0.25">
      <c r="B1132" s="26"/>
      <c r="C1132" s="26"/>
      <c r="D1132" s="26"/>
    </row>
    <row r="1133" spans="2:4" x14ac:dyDescent="0.25">
      <c r="B1133" s="26"/>
      <c r="C1133" s="26"/>
      <c r="D1133" s="26"/>
    </row>
    <row r="1134" spans="2:4" x14ac:dyDescent="0.25">
      <c r="B1134" s="26"/>
      <c r="C1134" s="26"/>
      <c r="D1134" s="26"/>
    </row>
    <row r="1135" spans="2:4" x14ac:dyDescent="0.25">
      <c r="B1135" s="26"/>
      <c r="C1135" s="26"/>
      <c r="D1135" s="26"/>
    </row>
    <row r="1136" spans="2:4" x14ac:dyDescent="0.25">
      <c r="B1136" s="26"/>
      <c r="C1136" s="26"/>
      <c r="D1136" s="26"/>
    </row>
    <row r="1137" spans="2:4" x14ac:dyDescent="0.25">
      <c r="B1137" s="26"/>
      <c r="C1137" s="26"/>
      <c r="D1137" s="26"/>
    </row>
    <row r="1138" spans="2:4" x14ac:dyDescent="0.25">
      <c r="B1138" s="26"/>
      <c r="C1138" s="26"/>
      <c r="D1138" s="26"/>
    </row>
    <row r="1139" spans="2:4" x14ac:dyDescent="0.25">
      <c r="B1139" s="26"/>
      <c r="C1139" s="26"/>
      <c r="D1139" s="26"/>
    </row>
    <row r="1140" spans="2:4" x14ac:dyDescent="0.25">
      <c r="B1140" s="26"/>
      <c r="C1140" s="26"/>
      <c r="D1140" s="26"/>
    </row>
    <row r="1141" spans="2:4" x14ac:dyDescent="0.25">
      <c r="B1141" s="26"/>
      <c r="C1141" s="26"/>
      <c r="D1141" s="26"/>
    </row>
    <row r="1142" spans="2:4" x14ac:dyDescent="0.25">
      <c r="B1142" s="26"/>
      <c r="C1142" s="26"/>
      <c r="D1142" s="26"/>
    </row>
    <row r="1143" spans="2:4" x14ac:dyDescent="0.25">
      <c r="B1143" s="26"/>
      <c r="C1143" s="26"/>
      <c r="D1143" s="26"/>
    </row>
    <row r="1144" spans="2:4" x14ac:dyDescent="0.25">
      <c r="B1144" s="26"/>
      <c r="C1144" s="26"/>
      <c r="D1144" s="26"/>
    </row>
    <row r="1145" spans="2:4" x14ac:dyDescent="0.25">
      <c r="B1145" s="26"/>
      <c r="C1145" s="26"/>
      <c r="D1145" s="26"/>
    </row>
    <row r="1146" spans="2:4" x14ac:dyDescent="0.25">
      <c r="B1146" s="26"/>
      <c r="C1146" s="26"/>
      <c r="D1146" s="26"/>
    </row>
    <row r="1147" spans="2:4" x14ac:dyDescent="0.25">
      <c r="B1147" s="26"/>
      <c r="C1147" s="26"/>
      <c r="D1147" s="26"/>
    </row>
    <row r="1148" spans="2:4" x14ac:dyDescent="0.25">
      <c r="B1148" s="26"/>
      <c r="C1148" s="26"/>
      <c r="D1148" s="26"/>
    </row>
    <row r="1149" spans="2:4" x14ac:dyDescent="0.25">
      <c r="B1149" s="26"/>
      <c r="C1149" s="26"/>
      <c r="D1149" s="26"/>
    </row>
    <row r="1150" spans="2:4" x14ac:dyDescent="0.25">
      <c r="B1150" s="26"/>
      <c r="C1150" s="26"/>
      <c r="D1150" s="26"/>
    </row>
    <row r="1151" spans="2:4" x14ac:dyDescent="0.25">
      <c r="B1151" s="26"/>
      <c r="C1151" s="26"/>
      <c r="D1151" s="26"/>
    </row>
    <row r="1152" spans="2:4" x14ac:dyDescent="0.25">
      <c r="B1152" s="26"/>
      <c r="C1152" s="26"/>
      <c r="D1152" s="26"/>
    </row>
    <row r="1153" spans="2:4" x14ac:dyDescent="0.25">
      <c r="B1153" s="26"/>
      <c r="C1153" s="26"/>
      <c r="D1153" s="26"/>
    </row>
    <row r="1154" spans="2:4" x14ac:dyDescent="0.25">
      <c r="B1154" s="26"/>
      <c r="C1154" s="26"/>
      <c r="D1154" s="26"/>
    </row>
    <row r="1155" spans="2:4" x14ac:dyDescent="0.25">
      <c r="B1155" s="26"/>
      <c r="C1155" s="26"/>
      <c r="D1155" s="26"/>
    </row>
    <row r="1156" spans="2:4" x14ac:dyDescent="0.25">
      <c r="B1156" s="26"/>
      <c r="C1156" s="26"/>
      <c r="D1156" s="26"/>
    </row>
    <row r="1157" spans="2:4" x14ac:dyDescent="0.25">
      <c r="B1157" s="26"/>
      <c r="C1157" s="26"/>
      <c r="D1157" s="26"/>
    </row>
    <row r="1158" spans="2:4" x14ac:dyDescent="0.25">
      <c r="B1158" s="26"/>
      <c r="C1158" s="26"/>
      <c r="D1158" s="26"/>
    </row>
    <row r="1159" spans="2:4" x14ac:dyDescent="0.25">
      <c r="B1159" s="26"/>
      <c r="C1159" s="26"/>
      <c r="D1159" s="26"/>
    </row>
    <row r="1160" spans="2:4" x14ac:dyDescent="0.25">
      <c r="B1160" s="26"/>
      <c r="C1160" s="26"/>
      <c r="D1160" s="26"/>
    </row>
    <row r="1161" spans="2:4" x14ac:dyDescent="0.25">
      <c r="B1161" s="26"/>
      <c r="C1161" s="26"/>
      <c r="D1161" s="26"/>
    </row>
    <row r="1162" spans="2:4" x14ac:dyDescent="0.25">
      <c r="B1162" s="26"/>
      <c r="C1162" s="26"/>
      <c r="D1162" s="26"/>
    </row>
    <row r="1163" spans="2:4" x14ac:dyDescent="0.25">
      <c r="B1163" s="26"/>
      <c r="C1163" s="26"/>
      <c r="D1163" s="26"/>
    </row>
    <row r="1164" spans="2:4" x14ac:dyDescent="0.25">
      <c r="B1164" s="26"/>
      <c r="C1164" s="26"/>
      <c r="D1164" s="26"/>
    </row>
    <row r="1165" spans="2:4" x14ac:dyDescent="0.25">
      <c r="B1165" s="26"/>
      <c r="C1165" s="26"/>
      <c r="D1165" s="26"/>
    </row>
    <row r="1166" spans="2:4" x14ac:dyDescent="0.25">
      <c r="B1166" s="26"/>
      <c r="C1166" s="26"/>
      <c r="D1166" s="26"/>
    </row>
    <row r="1167" spans="2:4" x14ac:dyDescent="0.25">
      <c r="B1167" s="26"/>
      <c r="C1167" s="26"/>
      <c r="D1167" s="26"/>
    </row>
    <row r="1168" spans="2:4" x14ac:dyDescent="0.25">
      <c r="B1168" s="26"/>
      <c r="C1168" s="26"/>
      <c r="D1168" s="26"/>
    </row>
    <row r="1169" spans="2:4" x14ac:dyDescent="0.25">
      <c r="B1169" s="26"/>
      <c r="C1169" s="26"/>
      <c r="D1169" s="26"/>
    </row>
    <row r="1170" spans="2:4" x14ac:dyDescent="0.25">
      <c r="B1170" s="26"/>
      <c r="C1170" s="26"/>
      <c r="D1170" s="26"/>
    </row>
    <row r="1171" spans="2:4" x14ac:dyDescent="0.25">
      <c r="B1171" s="26"/>
      <c r="C1171" s="26"/>
      <c r="D1171" s="26"/>
    </row>
    <row r="1172" spans="2:4" x14ac:dyDescent="0.25">
      <c r="B1172" s="26"/>
      <c r="C1172" s="26"/>
      <c r="D1172" s="26"/>
    </row>
    <row r="1173" spans="2:4" x14ac:dyDescent="0.25">
      <c r="B1173" s="26"/>
      <c r="C1173" s="26"/>
      <c r="D1173" s="26"/>
    </row>
    <row r="1174" spans="2:4" x14ac:dyDescent="0.25">
      <c r="B1174" s="26"/>
      <c r="C1174" s="26"/>
      <c r="D1174" s="26"/>
    </row>
    <row r="1175" spans="2:4" x14ac:dyDescent="0.25">
      <c r="B1175" s="26"/>
      <c r="C1175" s="26"/>
      <c r="D1175" s="26"/>
    </row>
    <row r="1176" spans="2:4" x14ac:dyDescent="0.25">
      <c r="B1176" s="26"/>
      <c r="C1176" s="26"/>
      <c r="D1176" s="26"/>
    </row>
    <row r="1177" spans="2:4" x14ac:dyDescent="0.25">
      <c r="B1177" s="26"/>
      <c r="C1177" s="26"/>
      <c r="D1177" s="26"/>
    </row>
    <row r="1178" spans="2:4" x14ac:dyDescent="0.25">
      <c r="B1178" s="26"/>
      <c r="C1178" s="26"/>
      <c r="D1178" s="26"/>
    </row>
    <row r="1179" spans="2:4" x14ac:dyDescent="0.25">
      <c r="B1179" s="26"/>
      <c r="C1179" s="26"/>
      <c r="D1179" s="26"/>
    </row>
    <row r="1180" spans="2:4" x14ac:dyDescent="0.25">
      <c r="B1180" s="26"/>
      <c r="C1180" s="26"/>
      <c r="D1180" s="26"/>
    </row>
    <row r="1181" spans="2:4" x14ac:dyDescent="0.25">
      <c r="B1181" s="26"/>
      <c r="C1181" s="26"/>
      <c r="D1181" s="26"/>
    </row>
    <row r="1182" spans="2:4" x14ac:dyDescent="0.25">
      <c r="B1182" s="26"/>
      <c r="C1182" s="26"/>
      <c r="D1182" s="26"/>
    </row>
    <row r="1183" spans="2:4" x14ac:dyDescent="0.25">
      <c r="B1183" s="26"/>
      <c r="C1183" s="26"/>
      <c r="D1183" s="26"/>
    </row>
    <row r="1184" spans="2:4" x14ac:dyDescent="0.25">
      <c r="B1184" s="26"/>
      <c r="C1184" s="26"/>
      <c r="D1184" s="26"/>
    </row>
    <row r="1185" spans="2:4" x14ac:dyDescent="0.25">
      <c r="B1185" s="26"/>
      <c r="C1185" s="26"/>
      <c r="D1185" s="26"/>
    </row>
    <row r="1186" spans="2:4" x14ac:dyDescent="0.25">
      <c r="B1186" s="26"/>
      <c r="C1186" s="26"/>
      <c r="D1186" s="26"/>
    </row>
    <row r="1187" spans="2:4" x14ac:dyDescent="0.25">
      <c r="B1187" s="26"/>
      <c r="C1187" s="26"/>
      <c r="D1187" s="26"/>
    </row>
    <row r="1188" spans="2:4" x14ac:dyDescent="0.25">
      <c r="B1188" s="26"/>
      <c r="C1188" s="26"/>
      <c r="D1188" s="26"/>
    </row>
    <row r="1189" spans="2:4" x14ac:dyDescent="0.25">
      <c r="B1189" s="26"/>
      <c r="C1189" s="26"/>
      <c r="D1189" s="26"/>
    </row>
    <row r="1190" spans="2:4" x14ac:dyDescent="0.25">
      <c r="B1190" s="26"/>
      <c r="C1190" s="26"/>
      <c r="D1190" s="26"/>
    </row>
    <row r="1191" spans="2:4" x14ac:dyDescent="0.25">
      <c r="B1191" s="26"/>
      <c r="C1191" s="26"/>
      <c r="D1191" s="26"/>
    </row>
    <row r="1192" spans="2:4" x14ac:dyDescent="0.25">
      <c r="B1192" s="26"/>
      <c r="C1192" s="26"/>
      <c r="D1192" s="26"/>
    </row>
    <row r="1193" spans="2:4" x14ac:dyDescent="0.25">
      <c r="B1193" s="26"/>
      <c r="C1193" s="26"/>
      <c r="D1193" s="26"/>
    </row>
    <row r="1194" spans="2:4" x14ac:dyDescent="0.25">
      <c r="B1194" s="26"/>
      <c r="C1194" s="26"/>
      <c r="D1194" s="26"/>
    </row>
    <row r="1195" spans="2:4" x14ac:dyDescent="0.25">
      <c r="B1195" s="26"/>
      <c r="C1195" s="26"/>
      <c r="D1195" s="26"/>
    </row>
    <row r="1196" spans="2:4" x14ac:dyDescent="0.25">
      <c r="B1196" s="26"/>
      <c r="C1196" s="26"/>
      <c r="D1196" s="26"/>
    </row>
    <row r="1197" spans="2:4" x14ac:dyDescent="0.25">
      <c r="B1197" s="26"/>
      <c r="C1197" s="26"/>
      <c r="D1197" s="26"/>
    </row>
    <row r="1198" spans="2:4" x14ac:dyDescent="0.25">
      <c r="B1198" s="26"/>
      <c r="C1198" s="26"/>
      <c r="D1198" s="26"/>
    </row>
    <row r="1199" spans="2:4" x14ac:dyDescent="0.25">
      <c r="B1199" s="26"/>
      <c r="C1199" s="26"/>
      <c r="D1199" s="26"/>
    </row>
    <row r="1200" spans="2:4" x14ac:dyDescent="0.25">
      <c r="B1200" s="26"/>
      <c r="C1200" s="26"/>
      <c r="D1200" s="26"/>
    </row>
    <row r="1201" spans="2:4" x14ac:dyDescent="0.25">
      <c r="B1201" s="26"/>
      <c r="C1201" s="26"/>
      <c r="D1201" s="26"/>
    </row>
    <row r="1202" spans="2:4" x14ac:dyDescent="0.25">
      <c r="B1202" s="26"/>
      <c r="C1202" s="26"/>
      <c r="D1202" s="26"/>
    </row>
    <row r="1203" spans="2:4" x14ac:dyDescent="0.25">
      <c r="B1203" s="26"/>
      <c r="C1203" s="26"/>
      <c r="D1203" s="26"/>
    </row>
    <row r="1204" spans="2:4" x14ac:dyDescent="0.25">
      <c r="B1204" s="26"/>
      <c r="C1204" s="26"/>
      <c r="D1204" s="26"/>
    </row>
    <row r="1205" spans="2:4" x14ac:dyDescent="0.25">
      <c r="B1205" s="26"/>
      <c r="C1205" s="26"/>
      <c r="D1205" s="26"/>
    </row>
    <row r="1206" spans="2:4" x14ac:dyDescent="0.25">
      <c r="B1206" s="26"/>
      <c r="C1206" s="26"/>
      <c r="D1206" s="26"/>
    </row>
    <row r="1207" spans="2:4" x14ac:dyDescent="0.25">
      <c r="B1207" s="26"/>
      <c r="C1207" s="26"/>
      <c r="D1207" s="26"/>
    </row>
    <row r="1208" spans="2:4" x14ac:dyDescent="0.25">
      <c r="B1208" s="26"/>
      <c r="C1208" s="26"/>
      <c r="D1208" s="26"/>
    </row>
    <row r="1209" spans="2:4" x14ac:dyDescent="0.25">
      <c r="B1209" s="26"/>
      <c r="C1209" s="26"/>
      <c r="D1209" s="26"/>
    </row>
    <row r="1210" spans="2:4" x14ac:dyDescent="0.25">
      <c r="B1210" s="26"/>
      <c r="C1210" s="26"/>
      <c r="D1210" s="26"/>
    </row>
    <row r="1211" spans="2:4" x14ac:dyDescent="0.25">
      <c r="B1211" s="26"/>
      <c r="C1211" s="26"/>
      <c r="D1211" s="26"/>
    </row>
    <row r="1212" spans="2:4" x14ac:dyDescent="0.25">
      <c r="B1212" s="26"/>
      <c r="C1212" s="26"/>
      <c r="D1212" s="26"/>
    </row>
    <row r="1213" spans="2:4" x14ac:dyDescent="0.25">
      <c r="B1213" s="26"/>
      <c r="C1213" s="26"/>
      <c r="D1213" s="26"/>
    </row>
    <row r="1214" spans="2:4" x14ac:dyDescent="0.25">
      <c r="B1214" s="26"/>
      <c r="C1214" s="26"/>
      <c r="D1214" s="26"/>
    </row>
    <row r="1215" spans="2:4" x14ac:dyDescent="0.25">
      <c r="B1215" s="26"/>
      <c r="C1215" s="26"/>
      <c r="D1215" s="26"/>
    </row>
    <row r="1216" spans="2:4" x14ac:dyDescent="0.25">
      <c r="B1216" s="26"/>
      <c r="C1216" s="26"/>
      <c r="D1216" s="26"/>
    </row>
    <row r="1217" spans="2:4" x14ac:dyDescent="0.25">
      <c r="B1217" s="26"/>
      <c r="C1217" s="26"/>
      <c r="D1217" s="26"/>
    </row>
    <row r="1218" spans="2:4" x14ac:dyDescent="0.25">
      <c r="B1218" s="26"/>
      <c r="C1218" s="26"/>
      <c r="D1218" s="26"/>
    </row>
    <row r="1219" spans="2:4" x14ac:dyDescent="0.25">
      <c r="B1219" s="26"/>
      <c r="C1219" s="26"/>
      <c r="D1219" s="26"/>
    </row>
    <row r="1220" spans="2:4" x14ac:dyDescent="0.25">
      <c r="B1220" s="26"/>
      <c r="C1220" s="26"/>
      <c r="D1220" s="26"/>
    </row>
    <row r="1221" spans="2:4" x14ac:dyDescent="0.25">
      <c r="B1221" s="26"/>
      <c r="C1221" s="26"/>
      <c r="D1221" s="26"/>
    </row>
    <row r="1222" spans="2:4" x14ac:dyDescent="0.25">
      <c r="B1222" s="26"/>
      <c r="C1222" s="26"/>
      <c r="D1222" s="26"/>
    </row>
    <row r="1223" spans="2:4" x14ac:dyDescent="0.25">
      <c r="B1223" s="26"/>
      <c r="C1223" s="26"/>
      <c r="D1223" s="26"/>
    </row>
    <row r="1224" spans="2:4" x14ac:dyDescent="0.25">
      <c r="B1224" s="26"/>
      <c r="C1224" s="26"/>
      <c r="D1224" s="26"/>
    </row>
    <row r="1225" spans="2:4" x14ac:dyDescent="0.25">
      <c r="B1225" s="26"/>
      <c r="C1225" s="26"/>
      <c r="D1225" s="26"/>
    </row>
    <row r="1226" spans="2:4" x14ac:dyDescent="0.25">
      <c r="B1226" s="26"/>
      <c r="C1226" s="26"/>
      <c r="D1226" s="26"/>
    </row>
    <row r="1227" spans="2:4" x14ac:dyDescent="0.25">
      <c r="B1227" s="26"/>
      <c r="C1227" s="26"/>
      <c r="D1227" s="26"/>
    </row>
    <row r="1228" spans="2:4" x14ac:dyDescent="0.25">
      <c r="B1228" s="26"/>
      <c r="C1228" s="26"/>
      <c r="D1228" s="26"/>
    </row>
    <row r="1229" spans="2:4" x14ac:dyDescent="0.25">
      <c r="B1229" s="26"/>
      <c r="C1229" s="26"/>
      <c r="D1229" s="26"/>
    </row>
    <row r="1230" spans="2:4" x14ac:dyDescent="0.25">
      <c r="B1230" s="26"/>
      <c r="C1230" s="26"/>
      <c r="D1230" s="26"/>
    </row>
    <row r="1231" spans="2:4" x14ac:dyDescent="0.25">
      <c r="B1231" s="26"/>
      <c r="C1231" s="26"/>
      <c r="D1231" s="26"/>
    </row>
    <row r="1232" spans="2:4" x14ac:dyDescent="0.25">
      <c r="B1232" s="26"/>
      <c r="C1232" s="26"/>
      <c r="D1232" s="26"/>
    </row>
    <row r="1233" spans="2:4" x14ac:dyDescent="0.25">
      <c r="B1233" s="26"/>
      <c r="C1233" s="26"/>
      <c r="D1233" s="26"/>
    </row>
    <row r="1234" spans="2:4" x14ac:dyDescent="0.25">
      <c r="B1234" s="26"/>
      <c r="C1234" s="26"/>
      <c r="D1234" s="26"/>
    </row>
    <row r="1235" spans="2:4" x14ac:dyDescent="0.25">
      <c r="B1235" s="26"/>
      <c r="C1235" s="26"/>
      <c r="D1235" s="26"/>
    </row>
    <row r="1236" spans="2:4" x14ac:dyDescent="0.25">
      <c r="B1236" s="26"/>
      <c r="C1236" s="26"/>
      <c r="D1236" s="26"/>
    </row>
    <row r="1237" spans="2:4" x14ac:dyDescent="0.25">
      <c r="B1237" s="26"/>
      <c r="C1237" s="26"/>
      <c r="D1237" s="26"/>
    </row>
    <row r="1238" spans="2:4" x14ac:dyDescent="0.25">
      <c r="B1238" s="26"/>
      <c r="C1238" s="26"/>
      <c r="D1238" s="26"/>
    </row>
    <row r="1239" spans="2:4" x14ac:dyDescent="0.25">
      <c r="B1239" s="26"/>
      <c r="C1239" s="26"/>
      <c r="D1239" s="26"/>
    </row>
    <row r="1240" spans="2:4" x14ac:dyDescent="0.25">
      <c r="B1240" s="26"/>
      <c r="C1240" s="26"/>
      <c r="D1240" s="26"/>
    </row>
    <row r="1241" spans="2:4" x14ac:dyDescent="0.25">
      <c r="B1241" s="26"/>
      <c r="C1241" s="26"/>
      <c r="D1241" s="26"/>
    </row>
    <row r="1242" spans="2:4" x14ac:dyDescent="0.25">
      <c r="B1242" s="26"/>
      <c r="C1242" s="26"/>
      <c r="D1242" s="26"/>
    </row>
    <row r="1243" spans="2:4" x14ac:dyDescent="0.25">
      <c r="B1243" s="26"/>
      <c r="C1243" s="26"/>
      <c r="D1243" s="26"/>
    </row>
    <row r="1244" spans="2:4" x14ac:dyDescent="0.25">
      <c r="B1244" s="26"/>
      <c r="C1244" s="26"/>
      <c r="D1244" s="26"/>
    </row>
    <row r="1245" spans="2:4" x14ac:dyDescent="0.25">
      <c r="B1245" s="26"/>
      <c r="C1245" s="26"/>
      <c r="D1245" s="26"/>
    </row>
    <row r="1246" spans="2:4" x14ac:dyDescent="0.25">
      <c r="B1246" s="26"/>
      <c r="C1246" s="26"/>
      <c r="D1246" s="26"/>
    </row>
    <row r="1247" spans="2:4" x14ac:dyDescent="0.25">
      <c r="B1247" s="26"/>
      <c r="C1247" s="26"/>
      <c r="D1247" s="26"/>
    </row>
    <row r="1248" spans="2:4" x14ac:dyDescent="0.25">
      <c r="B1248" s="26"/>
      <c r="C1248" s="26"/>
      <c r="D1248" s="26"/>
    </row>
    <row r="1249" spans="2:4" x14ac:dyDescent="0.25">
      <c r="B1249" s="26"/>
      <c r="C1249" s="26"/>
      <c r="D1249" s="26"/>
    </row>
    <row r="1250" spans="2:4" x14ac:dyDescent="0.25">
      <c r="B1250" s="26"/>
      <c r="C1250" s="26"/>
      <c r="D1250" s="26"/>
    </row>
    <row r="1251" spans="2:4" x14ac:dyDescent="0.25">
      <c r="B1251" s="26"/>
      <c r="C1251" s="26"/>
      <c r="D1251" s="26"/>
    </row>
    <row r="1252" spans="2:4" x14ac:dyDescent="0.25">
      <c r="B1252" s="26"/>
      <c r="C1252" s="26"/>
      <c r="D1252" s="26"/>
    </row>
    <row r="1253" spans="2:4" x14ac:dyDescent="0.25">
      <c r="B1253" s="26"/>
      <c r="C1253" s="26"/>
      <c r="D1253" s="26"/>
    </row>
    <row r="1254" spans="2:4" x14ac:dyDescent="0.25">
      <c r="B1254" s="26"/>
      <c r="C1254" s="26"/>
      <c r="D1254" s="26"/>
    </row>
    <row r="1255" spans="2:4" x14ac:dyDescent="0.25">
      <c r="B1255" s="26"/>
      <c r="C1255" s="26"/>
      <c r="D1255" s="26"/>
    </row>
    <row r="1256" spans="2:4" x14ac:dyDescent="0.25">
      <c r="B1256" s="26"/>
      <c r="C1256" s="26"/>
      <c r="D1256" s="26"/>
    </row>
    <row r="1257" spans="2:4" x14ac:dyDescent="0.25">
      <c r="B1257" s="26"/>
      <c r="C1257" s="26"/>
      <c r="D1257" s="26"/>
    </row>
    <row r="1258" spans="2:4" x14ac:dyDescent="0.25">
      <c r="B1258" s="26"/>
      <c r="C1258" s="26"/>
      <c r="D1258" s="26"/>
    </row>
    <row r="1259" spans="2:4" x14ac:dyDescent="0.25">
      <c r="B1259" s="26"/>
      <c r="C1259" s="26"/>
      <c r="D1259" s="26"/>
    </row>
    <row r="1260" spans="2:4" x14ac:dyDescent="0.25">
      <c r="B1260" s="26"/>
      <c r="C1260" s="26"/>
      <c r="D1260" s="26"/>
    </row>
    <row r="1261" spans="2:4" x14ac:dyDescent="0.25">
      <c r="B1261" s="26"/>
      <c r="C1261" s="26"/>
      <c r="D1261" s="26"/>
    </row>
    <row r="1262" spans="2:4" x14ac:dyDescent="0.25">
      <c r="B1262" s="26"/>
      <c r="C1262" s="26"/>
      <c r="D1262" s="26"/>
    </row>
    <row r="1263" spans="2:4" x14ac:dyDescent="0.25">
      <c r="B1263" s="26"/>
      <c r="C1263" s="26"/>
      <c r="D1263" s="26"/>
    </row>
    <row r="1264" spans="2:4" x14ac:dyDescent="0.25">
      <c r="B1264" s="26"/>
      <c r="C1264" s="26"/>
      <c r="D1264" s="26"/>
    </row>
    <row r="1265" spans="2:4" x14ac:dyDescent="0.25">
      <c r="B1265" s="26"/>
      <c r="C1265" s="26"/>
      <c r="D1265" s="26"/>
    </row>
    <row r="1266" spans="2:4" x14ac:dyDescent="0.25">
      <c r="B1266" s="26"/>
      <c r="C1266" s="26"/>
      <c r="D1266" s="26"/>
    </row>
    <row r="1267" spans="2:4" x14ac:dyDescent="0.25">
      <c r="B1267" s="26"/>
      <c r="C1267" s="26"/>
      <c r="D1267" s="26"/>
    </row>
    <row r="1268" spans="2:4" x14ac:dyDescent="0.25">
      <c r="B1268" s="26"/>
      <c r="C1268" s="26"/>
      <c r="D1268" s="26"/>
    </row>
    <row r="1269" spans="2:4" x14ac:dyDescent="0.25">
      <c r="B1269" s="26"/>
      <c r="C1269" s="26"/>
      <c r="D1269" s="26"/>
    </row>
    <row r="1270" spans="2:4" x14ac:dyDescent="0.25">
      <c r="B1270" s="26"/>
      <c r="C1270" s="26"/>
      <c r="D1270" s="26"/>
    </row>
    <row r="1271" spans="2:4" x14ac:dyDescent="0.25">
      <c r="B1271" s="26"/>
      <c r="C1271" s="26"/>
      <c r="D1271" s="26"/>
    </row>
    <row r="1272" spans="2:4" x14ac:dyDescent="0.25">
      <c r="B1272" s="26"/>
      <c r="C1272" s="26"/>
      <c r="D1272" s="26"/>
    </row>
    <row r="1273" spans="2:4" x14ac:dyDescent="0.25">
      <c r="B1273" s="26"/>
      <c r="C1273" s="26"/>
      <c r="D1273" s="26"/>
    </row>
    <row r="1274" spans="2:4" x14ac:dyDescent="0.25">
      <c r="B1274" s="26"/>
      <c r="C1274" s="26"/>
      <c r="D1274" s="26"/>
    </row>
    <row r="1275" spans="2:4" x14ac:dyDescent="0.25">
      <c r="B1275" s="26"/>
      <c r="C1275" s="26"/>
      <c r="D1275" s="26"/>
    </row>
    <row r="1276" spans="2:4" x14ac:dyDescent="0.25">
      <c r="B1276" s="26"/>
      <c r="C1276" s="26"/>
      <c r="D1276" s="26"/>
    </row>
    <row r="1277" spans="2:4" x14ac:dyDescent="0.25">
      <c r="B1277" s="26"/>
      <c r="C1277" s="26"/>
      <c r="D1277" s="26"/>
    </row>
    <row r="1278" spans="2:4" x14ac:dyDescent="0.25">
      <c r="B1278" s="26"/>
      <c r="C1278" s="26"/>
      <c r="D1278" s="26"/>
    </row>
    <row r="1279" spans="2:4" x14ac:dyDescent="0.25">
      <c r="B1279" s="26"/>
      <c r="C1279" s="26"/>
      <c r="D1279" s="26"/>
    </row>
    <row r="1280" spans="2:4" x14ac:dyDescent="0.25">
      <c r="B1280" s="26"/>
      <c r="C1280" s="26"/>
      <c r="D1280" s="26"/>
    </row>
    <row r="1281" spans="2:4" x14ac:dyDescent="0.25">
      <c r="B1281" s="26"/>
      <c r="C1281" s="26"/>
      <c r="D1281" s="26"/>
    </row>
    <row r="1282" spans="2:4" x14ac:dyDescent="0.25">
      <c r="B1282" s="26"/>
      <c r="C1282" s="26"/>
      <c r="D1282" s="26"/>
    </row>
    <row r="1283" spans="2:4" x14ac:dyDescent="0.25">
      <c r="B1283" s="26"/>
      <c r="C1283" s="26"/>
      <c r="D1283" s="26"/>
    </row>
    <row r="1284" spans="2:4" x14ac:dyDescent="0.25">
      <c r="B1284" s="26"/>
      <c r="C1284" s="26"/>
      <c r="D1284" s="26"/>
    </row>
    <row r="1285" spans="2:4" x14ac:dyDescent="0.25">
      <c r="B1285" s="26"/>
      <c r="C1285" s="26"/>
      <c r="D1285" s="26"/>
    </row>
    <row r="1286" spans="2:4" x14ac:dyDescent="0.25">
      <c r="B1286" s="26"/>
      <c r="C1286" s="26"/>
      <c r="D1286" s="26"/>
    </row>
    <row r="1287" spans="2:4" x14ac:dyDescent="0.25">
      <c r="B1287" s="26"/>
      <c r="C1287" s="26"/>
      <c r="D1287" s="26"/>
    </row>
    <row r="1288" spans="2:4" x14ac:dyDescent="0.25">
      <c r="B1288" s="26"/>
      <c r="C1288" s="26"/>
      <c r="D1288" s="26"/>
    </row>
    <row r="1289" spans="2:4" x14ac:dyDescent="0.25">
      <c r="B1289" s="26"/>
      <c r="C1289" s="26"/>
      <c r="D1289" s="26"/>
    </row>
    <row r="1290" spans="2:4" x14ac:dyDescent="0.25">
      <c r="B1290" s="26"/>
      <c r="C1290" s="26"/>
      <c r="D1290" s="26"/>
    </row>
    <row r="1291" spans="2:4" x14ac:dyDescent="0.25">
      <c r="B1291" s="26"/>
      <c r="C1291" s="26"/>
      <c r="D1291" s="26"/>
    </row>
    <row r="1292" spans="2:4" x14ac:dyDescent="0.25">
      <c r="B1292" s="26"/>
      <c r="C1292" s="26"/>
      <c r="D1292" s="26"/>
    </row>
    <row r="1293" spans="2:4" x14ac:dyDescent="0.25">
      <c r="B1293" s="26"/>
      <c r="C1293" s="26"/>
      <c r="D1293" s="26"/>
    </row>
    <row r="1294" spans="2:4" x14ac:dyDescent="0.25">
      <c r="B1294" s="26"/>
      <c r="C1294" s="26"/>
      <c r="D1294" s="26"/>
    </row>
    <row r="1295" spans="2:4" x14ac:dyDescent="0.25">
      <c r="B1295" s="26"/>
      <c r="C1295" s="26"/>
      <c r="D1295" s="26"/>
    </row>
    <row r="1296" spans="2:4" x14ac:dyDescent="0.25">
      <c r="B1296" s="26"/>
      <c r="C1296" s="26"/>
      <c r="D1296" s="26"/>
    </row>
    <row r="1297" spans="2:4" x14ac:dyDescent="0.25">
      <c r="B1297" s="26"/>
      <c r="C1297" s="26"/>
      <c r="D1297" s="26"/>
    </row>
    <row r="1298" spans="2:4" x14ac:dyDescent="0.25">
      <c r="B1298" s="26"/>
      <c r="C1298" s="26"/>
      <c r="D1298" s="26"/>
    </row>
    <row r="1299" spans="2:4" x14ac:dyDescent="0.25">
      <c r="B1299" s="26"/>
      <c r="C1299" s="26"/>
      <c r="D1299" s="26"/>
    </row>
    <row r="1300" spans="2:4" x14ac:dyDescent="0.25">
      <c r="B1300" s="26"/>
      <c r="C1300" s="26"/>
      <c r="D1300" s="26"/>
    </row>
    <row r="1301" spans="2:4" x14ac:dyDescent="0.25">
      <c r="B1301" s="26"/>
      <c r="C1301" s="26"/>
      <c r="D1301" s="26"/>
    </row>
    <row r="1302" spans="2:4" x14ac:dyDescent="0.25">
      <c r="B1302" s="26"/>
      <c r="C1302" s="26"/>
      <c r="D1302" s="26"/>
    </row>
    <row r="1303" spans="2:4" x14ac:dyDescent="0.25">
      <c r="B1303" s="26"/>
      <c r="C1303" s="26"/>
      <c r="D1303" s="26"/>
    </row>
    <row r="1304" spans="2:4" x14ac:dyDescent="0.25">
      <c r="B1304" s="26"/>
      <c r="C1304" s="26"/>
      <c r="D1304" s="26"/>
    </row>
    <row r="1305" spans="2:4" x14ac:dyDescent="0.25">
      <c r="B1305" s="26"/>
      <c r="C1305" s="26"/>
      <c r="D1305" s="26"/>
    </row>
    <row r="1306" spans="2:4" x14ac:dyDescent="0.25">
      <c r="B1306" s="26"/>
      <c r="C1306" s="26"/>
      <c r="D1306" s="26"/>
    </row>
    <row r="1307" spans="2:4" x14ac:dyDescent="0.25">
      <c r="B1307" s="26"/>
      <c r="C1307" s="26"/>
      <c r="D1307" s="26"/>
    </row>
    <row r="1308" spans="2:4" x14ac:dyDescent="0.25">
      <c r="B1308" s="26"/>
      <c r="C1308" s="26"/>
      <c r="D1308" s="26"/>
    </row>
    <row r="1309" spans="2:4" x14ac:dyDescent="0.25">
      <c r="B1309" s="26"/>
      <c r="C1309" s="26"/>
      <c r="D1309" s="26"/>
    </row>
    <row r="1310" spans="2:4" x14ac:dyDescent="0.25">
      <c r="B1310" s="26"/>
      <c r="C1310" s="26"/>
      <c r="D1310" s="26"/>
    </row>
    <row r="1311" spans="2:4" x14ac:dyDescent="0.25">
      <c r="B1311" s="26"/>
      <c r="C1311" s="26"/>
      <c r="D1311" s="26"/>
    </row>
    <row r="1312" spans="2:4" x14ac:dyDescent="0.25">
      <c r="B1312" s="26"/>
      <c r="C1312" s="26"/>
      <c r="D1312" s="26"/>
    </row>
    <row r="1313" spans="2:4" x14ac:dyDescent="0.25">
      <c r="B1313" s="26"/>
      <c r="C1313" s="26"/>
      <c r="D1313" s="26"/>
    </row>
    <row r="1314" spans="2:4" x14ac:dyDescent="0.25">
      <c r="B1314" s="26"/>
      <c r="C1314" s="26"/>
      <c r="D1314" s="26"/>
    </row>
    <row r="1315" spans="2:4" x14ac:dyDescent="0.25">
      <c r="B1315" s="26"/>
      <c r="C1315" s="26"/>
      <c r="D1315" s="26"/>
    </row>
    <row r="1316" spans="2:4" x14ac:dyDescent="0.25">
      <c r="B1316" s="26"/>
      <c r="C1316" s="26"/>
      <c r="D1316" s="26"/>
    </row>
    <row r="1317" spans="2:4" x14ac:dyDescent="0.25">
      <c r="B1317" s="26"/>
      <c r="C1317" s="26"/>
      <c r="D1317" s="26"/>
    </row>
    <row r="1318" spans="2:4" x14ac:dyDescent="0.25">
      <c r="B1318" s="26"/>
      <c r="C1318" s="26"/>
      <c r="D1318" s="26"/>
    </row>
    <row r="1319" spans="2:4" x14ac:dyDescent="0.25">
      <c r="B1319" s="26"/>
      <c r="C1319" s="26"/>
      <c r="D1319" s="26"/>
    </row>
    <row r="1320" spans="2:4" x14ac:dyDescent="0.25">
      <c r="B1320" s="26"/>
      <c r="C1320" s="26"/>
      <c r="D1320" s="26"/>
    </row>
    <row r="1321" spans="2:4" x14ac:dyDescent="0.25">
      <c r="B1321" s="26"/>
      <c r="C1321" s="26"/>
      <c r="D1321" s="26"/>
    </row>
    <row r="1322" spans="2:4" x14ac:dyDescent="0.25">
      <c r="B1322" s="26"/>
      <c r="C1322" s="26"/>
      <c r="D1322" s="26"/>
    </row>
    <row r="1323" spans="2:4" x14ac:dyDescent="0.25">
      <c r="B1323" s="26"/>
      <c r="C1323" s="26"/>
      <c r="D1323" s="26"/>
    </row>
    <row r="1324" spans="2:4" x14ac:dyDescent="0.25">
      <c r="B1324" s="26"/>
      <c r="C1324" s="26"/>
      <c r="D1324" s="26"/>
    </row>
    <row r="1325" spans="2:4" x14ac:dyDescent="0.25">
      <c r="B1325" s="26"/>
      <c r="C1325" s="26"/>
      <c r="D1325" s="26"/>
    </row>
    <row r="1326" spans="2:4" x14ac:dyDescent="0.25">
      <c r="B1326" s="26"/>
      <c r="C1326" s="26"/>
      <c r="D1326" s="26"/>
    </row>
    <row r="1327" spans="2:4" x14ac:dyDescent="0.25">
      <c r="B1327" s="26"/>
      <c r="C1327" s="26"/>
      <c r="D1327" s="26"/>
    </row>
    <row r="1328" spans="2:4" x14ac:dyDescent="0.25">
      <c r="B1328" s="26"/>
      <c r="C1328" s="26"/>
      <c r="D1328" s="26"/>
    </row>
    <row r="1329" spans="2:4" x14ac:dyDescent="0.25">
      <c r="B1329" s="26"/>
      <c r="C1329" s="26"/>
      <c r="D1329" s="26"/>
    </row>
    <row r="1330" spans="2:4" x14ac:dyDescent="0.25">
      <c r="B1330" s="26"/>
      <c r="C1330" s="26"/>
      <c r="D1330" s="26"/>
    </row>
    <row r="1331" spans="2:4" x14ac:dyDescent="0.25">
      <c r="B1331" s="26"/>
      <c r="C1331" s="26"/>
      <c r="D1331" s="26"/>
    </row>
    <row r="1332" spans="2:4" x14ac:dyDescent="0.25">
      <c r="B1332" s="26"/>
      <c r="C1332" s="26"/>
      <c r="D1332" s="26"/>
    </row>
    <row r="1333" spans="2:4" x14ac:dyDescent="0.25">
      <c r="B1333" s="26"/>
      <c r="C1333" s="26"/>
      <c r="D1333" s="26"/>
    </row>
    <row r="1334" spans="2:4" x14ac:dyDescent="0.25">
      <c r="B1334" s="26"/>
      <c r="C1334" s="26"/>
      <c r="D1334" s="26"/>
    </row>
    <row r="1335" spans="2:4" x14ac:dyDescent="0.25">
      <c r="B1335" s="26"/>
      <c r="C1335" s="26"/>
      <c r="D1335" s="26"/>
    </row>
    <row r="1336" spans="2:4" x14ac:dyDescent="0.25">
      <c r="B1336" s="26"/>
      <c r="C1336" s="26"/>
      <c r="D1336" s="26"/>
    </row>
    <row r="1337" spans="2:4" x14ac:dyDescent="0.25">
      <c r="B1337" s="26"/>
      <c r="C1337" s="26"/>
      <c r="D1337" s="26"/>
    </row>
    <row r="1338" spans="2:4" x14ac:dyDescent="0.25">
      <c r="B1338" s="26"/>
      <c r="C1338" s="26"/>
      <c r="D1338" s="26"/>
    </row>
    <row r="1339" spans="2:4" x14ac:dyDescent="0.25">
      <c r="B1339" s="26"/>
      <c r="C1339" s="26"/>
      <c r="D1339" s="26"/>
    </row>
    <row r="1340" spans="2:4" x14ac:dyDescent="0.25">
      <c r="B1340" s="26"/>
      <c r="C1340" s="26"/>
      <c r="D1340" s="26"/>
    </row>
    <row r="1341" spans="2:4" x14ac:dyDescent="0.25">
      <c r="B1341" s="26"/>
      <c r="C1341" s="26"/>
      <c r="D1341" s="26"/>
    </row>
    <row r="1342" spans="2:4" x14ac:dyDescent="0.25">
      <c r="B1342" s="26"/>
      <c r="C1342" s="26"/>
      <c r="D1342" s="26"/>
    </row>
    <row r="1343" spans="2:4" x14ac:dyDescent="0.25">
      <c r="B1343" s="26"/>
      <c r="C1343" s="26"/>
      <c r="D1343" s="26"/>
    </row>
    <row r="1344" spans="2:4" x14ac:dyDescent="0.25">
      <c r="B1344" s="26"/>
      <c r="C1344" s="26"/>
      <c r="D1344" s="26"/>
    </row>
    <row r="1345" spans="2:4" x14ac:dyDescent="0.25">
      <c r="B1345" s="26"/>
      <c r="C1345" s="26"/>
      <c r="D1345" s="26"/>
    </row>
    <row r="1346" spans="2:4" x14ac:dyDescent="0.25">
      <c r="B1346" s="26"/>
      <c r="C1346" s="26"/>
      <c r="D1346" s="26"/>
    </row>
    <row r="1347" spans="2:4" x14ac:dyDescent="0.25">
      <c r="B1347" s="26"/>
      <c r="C1347" s="26"/>
      <c r="D1347" s="26"/>
    </row>
    <row r="1348" spans="2:4" x14ac:dyDescent="0.25">
      <c r="B1348" s="26"/>
      <c r="C1348" s="26"/>
      <c r="D1348" s="26"/>
    </row>
    <row r="1349" spans="2:4" x14ac:dyDescent="0.25">
      <c r="B1349" s="26"/>
      <c r="C1349" s="26"/>
      <c r="D1349" s="26"/>
    </row>
    <row r="1350" spans="2:4" x14ac:dyDescent="0.25">
      <c r="B1350" s="26"/>
      <c r="C1350" s="26"/>
      <c r="D1350" s="26"/>
    </row>
    <row r="1351" spans="2:4" x14ac:dyDescent="0.25">
      <c r="B1351" s="26"/>
      <c r="C1351" s="26"/>
      <c r="D1351" s="26"/>
    </row>
    <row r="1352" spans="2:4" x14ac:dyDescent="0.25">
      <c r="B1352" s="26"/>
      <c r="C1352" s="26"/>
      <c r="D1352" s="26"/>
    </row>
    <row r="1353" spans="2:4" x14ac:dyDescent="0.25">
      <c r="B1353" s="26"/>
      <c r="C1353" s="26"/>
      <c r="D1353" s="26"/>
    </row>
    <row r="1354" spans="2:4" x14ac:dyDescent="0.25">
      <c r="B1354" s="26"/>
      <c r="C1354" s="26"/>
      <c r="D1354" s="26"/>
    </row>
    <row r="1355" spans="2:4" x14ac:dyDescent="0.25">
      <c r="B1355" s="26"/>
      <c r="C1355" s="26"/>
      <c r="D1355" s="26"/>
    </row>
    <row r="1356" spans="2:4" x14ac:dyDescent="0.25">
      <c r="B1356" s="26"/>
      <c r="C1356" s="26"/>
      <c r="D1356" s="26"/>
    </row>
    <row r="1357" spans="2:4" x14ac:dyDescent="0.25">
      <c r="B1357" s="26"/>
      <c r="C1357" s="26"/>
      <c r="D1357" s="26"/>
    </row>
    <row r="1358" spans="2:4" x14ac:dyDescent="0.25">
      <c r="B1358" s="26"/>
      <c r="C1358" s="26"/>
      <c r="D1358" s="26"/>
    </row>
    <row r="1359" spans="2:4" x14ac:dyDescent="0.25">
      <c r="B1359" s="26"/>
      <c r="C1359" s="26"/>
      <c r="D1359" s="26"/>
    </row>
    <row r="1360" spans="2:4" x14ac:dyDescent="0.25">
      <c r="B1360" s="26"/>
      <c r="C1360" s="26"/>
      <c r="D1360" s="26"/>
    </row>
    <row r="1361" spans="2:4" x14ac:dyDescent="0.25">
      <c r="B1361" s="26"/>
      <c r="C1361" s="26"/>
      <c r="D1361" s="26"/>
    </row>
    <row r="1362" spans="2:4" x14ac:dyDescent="0.25">
      <c r="B1362" s="26"/>
      <c r="C1362" s="26"/>
      <c r="D1362" s="26"/>
    </row>
    <row r="1363" spans="2:4" x14ac:dyDescent="0.25">
      <c r="B1363" s="26"/>
      <c r="C1363" s="26"/>
      <c r="D1363" s="26"/>
    </row>
    <row r="1364" spans="2:4" x14ac:dyDescent="0.25">
      <c r="B1364" s="26"/>
      <c r="C1364" s="26"/>
      <c r="D1364" s="26"/>
    </row>
    <row r="1365" spans="2:4" x14ac:dyDescent="0.25">
      <c r="B1365" s="26"/>
      <c r="C1365" s="26"/>
      <c r="D1365" s="26"/>
    </row>
    <row r="1366" spans="2:4" x14ac:dyDescent="0.25">
      <c r="B1366" s="26"/>
      <c r="C1366" s="26"/>
      <c r="D1366" s="26"/>
    </row>
    <row r="1367" spans="2:4" x14ac:dyDescent="0.25">
      <c r="B1367" s="26"/>
      <c r="C1367" s="26"/>
      <c r="D1367" s="26"/>
    </row>
    <row r="1368" spans="2:4" x14ac:dyDescent="0.25">
      <c r="B1368" s="26"/>
      <c r="C1368" s="26"/>
      <c r="D1368" s="26"/>
    </row>
    <row r="1369" spans="2:4" x14ac:dyDescent="0.25">
      <c r="B1369" s="26"/>
      <c r="C1369" s="26"/>
      <c r="D1369" s="26"/>
    </row>
    <row r="1370" spans="2:4" x14ac:dyDescent="0.25">
      <c r="B1370" s="26"/>
      <c r="C1370" s="26"/>
      <c r="D1370" s="26"/>
    </row>
    <row r="1371" spans="2:4" x14ac:dyDescent="0.25">
      <c r="B1371" s="26"/>
      <c r="C1371" s="26"/>
      <c r="D1371" s="26"/>
    </row>
    <row r="1372" spans="2:4" x14ac:dyDescent="0.25">
      <c r="B1372" s="26"/>
      <c r="C1372" s="26"/>
      <c r="D1372" s="26"/>
    </row>
    <row r="1373" spans="2:4" x14ac:dyDescent="0.25">
      <c r="B1373" s="26"/>
      <c r="C1373" s="26"/>
      <c r="D1373" s="26"/>
    </row>
    <row r="1374" spans="2:4" x14ac:dyDescent="0.25">
      <c r="B1374" s="26"/>
      <c r="C1374" s="26"/>
      <c r="D1374" s="26"/>
    </row>
    <row r="1375" spans="2:4" x14ac:dyDescent="0.25">
      <c r="B1375" s="26"/>
      <c r="C1375" s="26"/>
      <c r="D1375" s="26"/>
    </row>
    <row r="1376" spans="2:4" x14ac:dyDescent="0.25">
      <c r="B1376" s="26"/>
      <c r="C1376" s="26"/>
      <c r="D1376" s="26"/>
    </row>
    <row r="1377" spans="2:4" x14ac:dyDescent="0.25">
      <c r="B1377" s="26"/>
      <c r="C1377" s="26"/>
      <c r="D1377" s="26"/>
    </row>
    <row r="1378" spans="2:4" x14ac:dyDescent="0.25">
      <c r="B1378" s="26"/>
      <c r="C1378" s="26"/>
      <c r="D1378" s="26"/>
    </row>
    <row r="1379" spans="2:4" x14ac:dyDescent="0.25">
      <c r="B1379" s="26"/>
      <c r="C1379" s="26"/>
      <c r="D1379" s="26"/>
    </row>
    <row r="1380" spans="2:4" x14ac:dyDescent="0.25">
      <c r="B1380" s="26"/>
      <c r="C1380" s="26"/>
      <c r="D1380" s="26"/>
    </row>
    <row r="1381" spans="2:4" x14ac:dyDescent="0.25">
      <c r="B1381" s="26"/>
      <c r="C1381" s="26"/>
      <c r="D1381" s="26"/>
    </row>
    <row r="1382" spans="2:4" x14ac:dyDescent="0.25">
      <c r="B1382" s="26"/>
      <c r="C1382" s="26"/>
      <c r="D1382" s="26"/>
    </row>
    <row r="1383" spans="2:4" x14ac:dyDescent="0.25">
      <c r="B1383" s="26"/>
      <c r="C1383" s="26"/>
      <c r="D1383" s="26"/>
    </row>
    <row r="1384" spans="2:4" x14ac:dyDescent="0.25">
      <c r="B1384" s="26"/>
      <c r="C1384" s="26"/>
      <c r="D1384" s="26"/>
    </row>
    <row r="1385" spans="2:4" x14ac:dyDescent="0.25">
      <c r="B1385" s="26"/>
      <c r="C1385" s="26"/>
      <c r="D1385" s="26"/>
    </row>
    <row r="1386" spans="2:4" x14ac:dyDescent="0.25">
      <c r="B1386" s="26"/>
      <c r="C1386" s="26"/>
      <c r="D1386" s="26"/>
    </row>
    <row r="1387" spans="2:4" x14ac:dyDescent="0.25">
      <c r="B1387" s="26"/>
      <c r="C1387" s="26"/>
      <c r="D1387" s="26"/>
    </row>
    <row r="1388" spans="2:4" x14ac:dyDescent="0.25">
      <c r="B1388" s="26"/>
      <c r="C1388" s="26"/>
      <c r="D1388" s="26"/>
    </row>
    <row r="1389" spans="2:4" x14ac:dyDescent="0.25">
      <c r="B1389" s="26"/>
      <c r="C1389" s="26"/>
      <c r="D1389" s="26"/>
    </row>
    <row r="1390" spans="2:4" x14ac:dyDescent="0.25">
      <c r="B1390" s="26"/>
      <c r="C1390" s="26"/>
      <c r="D1390" s="26"/>
    </row>
    <row r="1391" spans="2:4" x14ac:dyDescent="0.25">
      <c r="B1391" s="26"/>
      <c r="C1391" s="26"/>
      <c r="D1391" s="26"/>
    </row>
    <row r="1392" spans="2:4" x14ac:dyDescent="0.25">
      <c r="B1392" s="26"/>
      <c r="C1392" s="26"/>
      <c r="D1392" s="26"/>
    </row>
    <row r="1393" spans="2:4" x14ac:dyDescent="0.25">
      <c r="B1393" s="26"/>
      <c r="C1393" s="26"/>
      <c r="D1393" s="26"/>
    </row>
    <row r="1394" spans="2:4" x14ac:dyDescent="0.25">
      <c r="B1394" s="26"/>
      <c r="C1394" s="26"/>
      <c r="D1394" s="26"/>
    </row>
    <row r="1395" spans="2:4" x14ac:dyDescent="0.25">
      <c r="B1395" s="26"/>
      <c r="C1395" s="26"/>
      <c r="D1395" s="26"/>
    </row>
    <row r="1396" spans="2:4" x14ac:dyDescent="0.25">
      <c r="B1396" s="26"/>
      <c r="C1396" s="26"/>
      <c r="D1396" s="26"/>
    </row>
    <row r="1397" spans="2:4" x14ac:dyDescent="0.25">
      <c r="B1397" s="26"/>
      <c r="C1397" s="26"/>
      <c r="D1397" s="26"/>
    </row>
    <row r="1398" spans="2:4" x14ac:dyDescent="0.25">
      <c r="B1398" s="26"/>
      <c r="C1398" s="26"/>
      <c r="D1398" s="26"/>
    </row>
    <row r="1399" spans="2:4" x14ac:dyDescent="0.25">
      <c r="B1399" s="26"/>
      <c r="C1399" s="26"/>
      <c r="D1399" s="26"/>
    </row>
    <row r="1400" spans="2:4" x14ac:dyDescent="0.25">
      <c r="B1400" s="26"/>
      <c r="C1400" s="26"/>
      <c r="D1400" s="26"/>
    </row>
    <row r="1401" spans="2:4" x14ac:dyDescent="0.25">
      <c r="B1401" s="26"/>
      <c r="C1401" s="26"/>
      <c r="D1401" s="26"/>
    </row>
    <row r="1402" spans="2:4" x14ac:dyDescent="0.25">
      <c r="B1402" s="26"/>
      <c r="C1402" s="26"/>
      <c r="D1402" s="26"/>
    </row>
  </sheetData>
  <sheetProtection algorithmName="SHA-512" hashValue="1LMGzEf+GR/VnJEpkjkdyE+gBKrhmnuQep6uxIZYAPWmvAzErWPU4pZffs4fesWDKRJdD8RO9J1jeTdFJ8reSw==" saltValue="IzYnITNGQWO1j6P93pBjGg==" spinCount="100000"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9525</xdr:rowOff>
              </from>
              <to>
                <xdr:col>0</xdr:col>
                <xdr:colOff>1400175</xdr:colOff>
                <xdr:row>2</xdr:row>
                <xdr:rowOff>142875</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'Tablas AR'!$B$4:$B$6</xm:f>
          </x14:formula1>
          <xm:sqref>E3:E933</xm:sqref>
        </x14:dataValidation>
        <x14:dataValidation type="list" allowBlank="1" showInputMessage="1" showErrorMessage="1" xr:uid="{00000000-0002-0000-0600-000001000000}">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2022-11-04T19:07:37Z</dcterms:modified>
</cp:coreProperties>
</file>